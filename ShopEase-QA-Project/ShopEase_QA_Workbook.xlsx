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ummary" sheetId="2" state="visible" r:id="rId4"/>
    <sheet name="Execution Tracker" sheetId="3" state="visible" r:id="rId5"/>
    <sheet name="Test Cases" sheetId="4" state="visible" r:id="rId6"/>
    <sheet name="Defect Tracker" sheetId="5" state="visible" r:id="rId7"/>
    <sheet name="RTM" sheetId="6" state="visible" r:id="rId8"/>
  </sheets>
  <definedNames>
    <definedName function="false" hidden="true" localSheetId="4" name="_xlnm._FilterDatabase" vbProcedure="false">'Defect Tracker'!$A$1:$P$41</definedName>
    <definedName function="false" hidden="true" localSheetId="2" name="_xlnm._FilterDatabase" vbProcedure="false">'Execution Tracker'!$A$1:$I$68</definedName>
    <definedName function="false" hidden="true" localSheetId="5" name="_xlnm._FilterDatabase" vbProcedure="false">RTM!$A$1:$G$68</definedName>
    <definedName function="false" hidden="true" localSheetId="3" name="_xlnm._FilterDatabase" vbProcedure="false">'Test Cases'!$A$1:$K$68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<sst xmlns="http://schemas.openxmlformats.org/spreadsheetml/2006/main" count="1570" uniqueCount="707">
  <si>
    <t xml:space="preserve">ShopEase QA Workbook</t>
  </si>
  <si>
    <t xml:space="preserve">SIMULATED PROJECT: ShopEase is a fictional application. Nothing in this workbook has been executed yet. Every test case starts as Not Executed.</t>
  </si>
  <si>
    <t xml:space="preserve">Sheets</t>
  </si>
  <si>
    <t xml:space="preserve">Summary – counts and percentages calculated by formulas. They show Not started until you execute tests.</t>
  </si>
  <si>
    <t xml:space="preserve">Test Cases – all 67 manual test cases. Status and Actual Result are read from the Execution Tracker (do not type in them).</t>
  </si>
  <si>
    <t xml:space="preserve">Execution Tracker – the ONLY place where you record results. Yellow cells are for you to fill in.</t>
  </si>
  <si>
    <t xml:space="preserve">Defect Tracker – 10 SAMPLE defects (Type = SAMPLE, for learning). Add your real defects in the yellow rows below them with Type = ACTUAL.</t>
  </si>
  <si>
    <t xml:space="preserve">RTM – requirement to test case to SQL query to expected database state. Execution Status is read from the Execution Tracker.</t>
  </si>
  <si>
    <t xml:space="preserve">How to record a result (example of the format; this is NOT a real result)</t>
  </si>
  <si>
    <t xml:space="preserve">In Execution Tracker pick Status from the drop-down (Pass / Fail / Blocked / Not Executed), type your name, the date (for example 2026-11-02), what you actually saw, and the Defect ID if the test failed (for example BUG-001).</t>
  </si>
  <si>
    <t xml:space="preserve">Example row: TC_REG_02 | Fail | Rishi | 2026-11-02 | System accepted the duplicate email and created a second account | BUG-001</t>
  </si>
  <si>
    <t xml:space="preserve">Legend</t>
  </si>
  <si>
    <t xml:space="preserve">Yellow cell = you fill it in. White cell = given text or formula. Pass % uses executed tests (Pass + Fail + Blocked) as the base.</t>
  </si>
  <si>
    <t xml:space="preserve">SQL query IDs (Q01 to Q48) are in sql/03_validation_queries.sql and explained in docs/sql_query_guide.md.</t>
  </si>
  <si>
    <t xml:space="preserve">Test Execution Summary</t>
  </si>
  <si>
    <t xml:space="preserve">All values are formulas on the Execution Tracker. They show Not started until you execute tests.</t>
  </si>
  <si>
    <t xml:space="preserve">Total test cases</t>
  </si>
  <si>
    <t xml:space="preserve">Pass</t>
  </si>
  <si>
    <t xml:space="preserve">Fail</t>
  </si>
  <si>
    <t xml:space="preserve">Blocked</t>
  </si>
  <si>
    <t xml:space="preserve">Not Executed</t>
  </si>
  <si>
    <t xml:space="preserve">Executed (Pass + Fail + Blocked)</t>
  </si>
  <si>
    <t xml:space="preserve">Pass % of executed</t>
  </si>
  <si>
    <t xml:space="preserve">Execution progress % (executed / total)</t>
  </si>
  <si>
    <t xml:space="preserve">Check: counts add up to total</t>
  </si>
  <si>
    <t xml:space="preserve">Results by module</t>
  </si>
  <si>
    <t xml:space="preserve">Module</t>
  </si>
  <si>
    <t xml:space="preserve">Total</t>
  </si>
  <si>
    <t xml:space="preserve">User Registration</t>
  </si>
  <si>
    <t xml:space="preserve">Login and Logout</t>
  </si>
  <si>
    <t xml:space="preserve">Product Search</t>
  </si>
  <si>
    <t xml:space="preserve">Categories and Product Details</t>
  </si>
  <si>
    <t xml:space="preserve">Shopping Cart</t>
  </si>
  <si>
    <t xml:space="preserve">Quantity Updates</t>
  </si>
  <si>
    <t xml:space="preserve">Checkout</t>
  </si>
  <si>
    <t xml:space="preserve">Address Validation</t>
  </si>
  <si>
    <t xml:space="preserve">Order Placement</t>
  </si>
  <si>
    <t xml:space="preserve">Payment Status Simulation</t>
  </si>
  <si>
    <t xml:space="preserve">Order History</t>
  </si>
  <si>
    <t xml:space="preserve">Order Cancellation</t>
  </si>
  <si>
    <t xml:space="preserve">Inventory Validation</t>
  </si>
  <si>
    <t xml:space="preserve">End-to-End</t>
  </si>
  <si>
    <t xml:space="preserve">Results by priority</t>
  </si>
  <si>
    <t xml:space="preserve">Priority</t>
  </si>
  <si>
    <t xml:space="preserve">High</t>
  </si>
  <si>
    <t xml:space="preserve">Medium</t>
  </si>
  <si>
    <t xml:space="preserve">Low</t>
  </si>
  <si>
    <t xml:space="preserve">Actual defects (Type = ACTUAL only; samples excluded)</t>
  </si>
  <si>
    <t xml:space="preserve">Severity</t>
  </si>
  <si>
    <t xml:space="preserve">Open (not Closed, Rejected or Duplicate)</t>
  </si>
  <si>
    <t xml:space="preserve">Critical</t>
  </si>
  <si>
    <t xml:space="preserve">TC ID</t>
  </si>
  <si>
    <t xml:space="preserve">Status</t>
  </si>
  <si>
    <t xml:space="preserve">Executed By</t>
  </si>
  <si>
    <t xml:space="preserve">Execution Date</t>
  </si>
  <si>
    <t xml:space="preserve">Actual Result (what you saw)</t>
  </si>
  <si>
    <t xml:space="preserve">Defect ID</t>
  </si>
  <si>
    <t xml:space="preserve">Remarks</t>
  </si>
  <si>
    <t xml:space="preserve">TC_REG_01</t>
  </si>
  <si>
    <t xml:space="preserve">TC_REG_02</t>
  </si>
  <si>
    <t xml:space="preserve">TC_REG_03</t>
  </si>
  <si>
    <t xml:space="preserve">TC_REG_04</t>
  </si>
  <si>
    <t xml:space="preserve">TC_REG_05</t>
  </si>
  <si>
    <t xml:space="preserve">TC_REG_06</t>
  </si>
  <si>
    <t xml:space="preserve">TC_REG_07</t>
  </si>
  <si>
    <t xml:space="preserve">TC_REG_08</t>
  </si>
  <si>
    <t xml:space="preserve">TC_REG_09</t>
  </si>
  <si>
    <t xml:space="preserve">TC_LOG_01</t>
  </si>
  <si>
    <t xml:space="preserve">TC_LOG_02</t>
  </si>
  <si>
    <t xml:space="preserve">TC_LOG_03</t>
  </si>
  <si>
    <t xml:space="preserve">TC_LOG_04</t>
  </si>
  <si>
    <t xml:space="preserve">TC_LOG_05</t>
  </si>
  <si>
    <t xml:space="preserve">TC_LOG_06</t>
  </si>
  <si>
    <t xml:space="preserve">TC_LOG_07</t>
  </si>
  <si>
    <t xml:space="preserve">TC_SRC_01</t>
  </si>
  <si>
    <t xml:space="preserve">TC_SRC_02</t>
  </si>
  <si>
    <t xml:space="preserve">TC_SRC_03</t>
  </si>
  <si>
    <t xml:space="preserve">TC_SRC_04</t>
  </si>
  <si>
    <t xml:space="preserve">TC_CAT_01</t>
  </si>
  <si>
    <t xml:space="preserve">TC_CAT_02</t>
  </si>
  <si>
    <t xml:space="preserve">TC_CAT_03</t>
  </si>
  <si>
    <t xml:space="preserve">TC_CAT_04</t>
  </si>
  <si>
    <t xml:space="preserve">TC_CRT_01</t>
  </si>
  <si>
    <t xml:space="preserve">TC_CRT_02</t>
  </si>
  <si>
    <t xml:space="preserve">TC_CRT_03</t>
  </si>
  <si>
    <t xml:space="preserve">TC_CRT_04</t>
  </si>
  <si>
    <t xml:space="preserve">TC_CRT_05</t>
  </si>
  <si>
    <t xml:space="preserve">TC_QTY_01</t>
  </si>
  <si>
    <t xml:space="preserve">TC_QTY_02</t>
  </si>
  <si>
    <t xml:space="preserve">TC_QTY_03</t>
  </si>
  <si>
    <t xml:space="preserve">TC_QTY_04</t>
  </si>
  <si>
    <t xml:space="preserve">TC_QTY_05</t>
  </si>
  <si>
    <t xml:space="preserve">TC_CHK_01</t>
  </si>
  <si>
    <t xml:space="preserve">TC_CHK_02</t>
  </si>
  <si>
    <t xml:space="preserve">TC_CHK_03</t>
  </si>
  <si>
    <t xml:space="preserve">TC_CHK_04</t>
  </si>
  <si>
    <t xml:space="preserve">TC_ADR_01</t>
  </si>
  <si>
    <t xml:space="preserve">TC_ADR_02</t>
  </si>
  <si>
    <t xml:space="preserve">TC_ADR_03</t>
  </si>
  <si>
    <t xml:space="preserve">TC_ADR_04</t>
  </si>
  <si>
    <t xml:space="preserve">TC_ADR_05</t>
  </si>
  <si>
    <t xml:space="preserve">TC_ORD_01</t>
  </si>
  <si>
    <t xml:space="preserve">TC_ORD_02</t>
  </si>
  <si>
    <t xml:space="preserve">TC_ORD_03</t>
  </si>
  <si>
    <t xml:space="preserve">TC_ORD_04</t>
  </si>
  <si>
    <t xml:space="preserve">TC_PAY_01</t>
  </si>
  <si>
    <t xml:space="preserve">TC_PAY_02</t>
  </si>
  <si>
    <t xml:space="preserve">TC_PAY_03</t>
  </si>
  <si>
    <t xml:space="preserve">TC_PAY_04</t>
  </si>
  <si>
    <t xml:space="preserve">TC_PAY_05</t>
  </si>
  <si>
    <t xml:space="preserve">TC_HIS_01</t>
  </si>
  <si>
    <t xml:space="preserve">TC_HIS_02</t>
  </si>
  <si>
    <t xml:space="preserve">TC_HIS_03</t>
  </si>
  <si>
    <t xml:space="preserve">TC_CAN_01</t>
  </si>
  <si>
    <t xml:space="preserve">TC_CAN_02</t>
  </si>
  <si>
    <t xml:space="preserve">TC_CAN_03</t>
  </si>
  <si>
    <t xml:space="preserve">TC_CAN_04</t>
  </si>
  <si>
    <t xml:space="preserve">TC_CAN_05</t>
  </si>
  <si>
    <t xml:space="preserve">TC_INV_01</t>
  </si>
  <si>
    <t xml:space="preserve">TC_INV_02</t>
  </si>
  <si>
    <t xml:space="preserve">TC_INV_03</t>
  </si>
  <si>
    <t xml:space="preserve">TC_INV_04</t>
  </si>
  <si>
    <t xml:space="preserve">TC_E2E_01</t>
  </si>
  <si>
    <t xml:space="preserve">TC_E2E_02</t>
  </si>
  <si>
    <t xml:space="preserve">TC_E2E_03</t>
  </si>
  <si>
    <t xml:space="preserve">Test Scenario</t>
  </si>
  <si>
    <t xml:space="preserve">Preconditions</t>
  </si>
  <si>
    <t xml:space="preserve">Test Data</t>
  </si>
  <si>
    <t xml:space="preserve">Test Steps</t>
  </si>
  <si>
    <t xml:space="preserve">Expected Result</t>
  </si>
  <si>
    <t xml:space="preserve">Actual Result</t>
  </si>
  <si>
    <t xml:space="preserve">Test Type</t>
  </si>
  <si>
    <t xml:space="preserve">Register with valid details</t>
  </si>
  <si>
    <t xml:space="preserve">User not logged in; email and phone not registered</t>
  </si>
  <si>
    <t xml:space="preserve">First: Anitha, Last: Rao, Email: anitha.rao@example.com, Phone: 9123456780, Password: Pass@1234, Confirm: Pass@1234</t>
  </si>
  <si>
    <t xml:space="preserve">1. Open Register page
2. Enter the test data
3. Click Register</t>
  </si>
  <si>
    <t xml:space="preserve">Account created, success message shown, user redirected to Login. DB: 1 new customers row, status ACTIVE, password stored as hash (SQL Q01)</t>
  </si>
  <si>
    <t xml:space="preserve">Positive</t>
  </si>
  <si>
    <t xml:space="preserve">Register with an already registered email</t>
  </si>
  <si>
    <t xml:space="preserve">ravi.kumar@example.com already exists</t>
  </si>
  <si>
    <t xml:space="preserve">Email: ravi.kumar@example.com, Phone: 9123456781, other fields valid</t>
  </si>
  <si>
    <t xml:space="preserve">1. Open Register page
2. Enter data with the existing email
3. Click Register</t>
  </si>
  <si>
    <t xml:space="preserve">Error 'Email already registered'; no new customer row (SQL Q02 returns 0 rows)</t>
  </si>
  <si>
    <t xml:space="preserve">Negative</t>
  </si>
  <si>
    <t xml:space="preserve">Register with an already registered phone number</t>
  </si>
  <si>
    <t xml:space="preserve">Phone 9876543210 already exists</t>
  </si>
  <si>
    <t xml:space="preserve">Phone: 9876543210, Email: new.user1@example.com, other fields valid</t>
  </si>
  <si>
    <t xml:space="preserve">1. Open Register page
2. Enter data with the existing phone
3. Click Register</t>
  </si>
  <si>
    <t xml:space="preserve">Error 'Phone number already registered'; no new row (SQL Q03 returns 0 rows)</t>
  </si>
  <si>
    <t xml:space="preserve">Invalid email formats are rejected</t>
  </si>
  <si>
    <t xml:space="preserve">Register page open</t>
  </si>
  <si>
    <t xml:space="preserve">ravi.kumar@ ; ravi@.com ; ravi kumar@example.com ; ravi.example.com</t>
  </si>
  <si>
    <t xml:space="preserve">1. Enter each invalid email one by one with other valid data
2. Click Register after each</t>
  </si>
  <si>
    <t xml:space="preserve">Each attempt shows 'Enter a valid email address'; no account created</t>
  </si>
  <si>
    <t xml:space="preserve">Validation</t>
  </si>
  <si>
    <t xml:space="preserve">Mandatory fields left blank</t>
  </si>
  <si>
    <t xml:space="preserve">All fields empty</t>
  </si>
  <si>
    <t xml:space="preserve">1. Click Register without entering anything</t>
  </si>
  <si>
    <t xml:space="preserve">Inline error shown for every mandatory field; form not submitted</t>
  </si>
  <si>
    <t xml:space="preserve">Weak passwords are rejected (password policy)</t>
  </si>
  <si>
    <t xml:space="preserve">abcd1234 (no uppercase/special) ; PASSWORD@1 (no lowercase) ; Password@ (no digit) ; Pass1234 (no special)</t>
  </si>
  <si>
    <t xml:space="preserve">1. Fill valid data and enter one weak password
2. Click Register
3. Repeat for each password</t>
  </si>
  <si>
    <t xml:space="preserve">Each is rejected and the message lists the missing rule (BR-02)</t>
  </si>
  <si>
    <t xml:space="preserve">Password length boundary values</t>
  </si>
  <si>
    <t xml:space="preserve">7 chars: Pass@12 ; 8 chars: Pass@123 ; 20 chars: Passw@rd123456789012 ; 21 chars: Passw@rd1234567890123</t>
  </si>
  <si>
    <t xml:space="preserve">1. Enter each password with valid other data
2. Click Register</t>
  </si>
  <si>
    <t xml:space="preserve">7 and 21 characters rejected; 8 and 20 characters accepted (use a unique email each time)</t>
  </si>
  <si>
    <t xml:space="preserve">Boundary</t>
  </si>
  <si>
    <t xml:space="preserve">Confirm password does not match</t>
  </si>
  <si>
    <t xml:space="preserve">Password: Pass@1234, Confirm: Pass@12345</t>
  </si>
  <si>
    <t xml:space="preserve">1. Enter mismatching passwords
2. Click Register</t>
  </si>
  <si>
    <t xml:space="preserve">Error 'Passwords do not match'; account not created</t>
  </si>
  <si>
    <t xml:space="preserve">Phone number validation</t>
  </si>
  <si>
    <t xml:space="preserve">12345 ; 5876543210 (starts with 5) ; 98765abcde ; 98765432101 (11 digits)</t>
  </si>
  <si>
    <t xml:space="preserve">1. Enter each phone value with other valid data
2. Click Register</t>
  </si>
  <si>
    <t xml:space="preserve">All rejected; only 10 digits starting 6-9 allowed (BR-01)</t>
  </si>
  <si>
    <t xml:space="preserve">Login with valid credentials</t>
  </si>
  <si>
    <t xml:space="preserve">Registered ACTIVE user</t>
  </si>
  <si>
    <t xml:space="preserve">ravi.kumar@example.com / Test@1234</t>
  </si>
  <si>
    <t xml:space="preserve">1. Open Login page
2. Enter email and password
3. Click Login</t>
  </si>
  <si>
    <t xml:space="preserve">Login succeeds, home page shows user name. DB: last_login_at updated, failed_login_attempts = 0</t>
  </si>
  <si>
    <t xml:space="preserve">Login with wrong password</t>
  </si>
  <si>
    <t xml:space="preserve">ravi.kumar@example.com / Wrong@123</t>
  </si>
  <si>
    <t xml:space="preserve">1. Enter valid email and wrong password
2. Click Login</t>
  </si>
  <si>
    <t xml:space="preserve">Generic message 'Invalid email or password'; not logged in. DB: failed_login_attempts increased by 1</t>
  </si>
  <si>
    <t xml:space="preserve">Login with unregistered email</t>
  </si>
  <si>
    <t xml:space="preserve">None</t>
  </si>
  <si>
    <t xml:space="preserve">nobody@example.com / Test@1234</t>
  </si>
  <si>
    <t xml:space="preserve">1. Enter unregistered email and any password
2. Click Login</t>
  </si>
  <si>
    <t xml:space="preserve">Same generic message (does not reveal that the email is unknown)</t>
  </si>
  <si>
    <t xml:space="preserve">Login with blank fields</t>
  </si>
  <si>
    <t xml:space="preserve">Login page open</t>
  </si>
  <si>
    <t xml:space="preserve">Empty email and password</t>
  </si>
  <si>
    <t xml:space="preserve">1. Click Login with both fields empty
2. Enter only email and click Login</t>
  </si>
  <si>
    <t xml:space="preserve">Mandatory field messages shown; no login attempt counted</t>
  </si>
  <si>
    <t xml:space="preserve">Account locks after 5 wrong passwords (boundary 4 vs 5)</t>
  </si>
  <si>
    <t xml:space="preserve">Use a fresh ACTIVE user with 0 failed attempts</t>
  </si>
  <si>
    <t xml:space="preserve">priya.nair@example.com wrong password Bad@1234</t>
  </si>
  <si>
    <t xml:space="preserve">1. Reset failed_login_attempts to 0 using SQL
2. Enter wrong password 4 times; check message and DB
3. Enter wrong password a 5th time
4. Now enter the correct password Test@1234</t>
  </si>
  <si>
    <t xml:space="preserve">After 4 attempts the account is still usable; after the 5th the status becomes BLOCKED and even the correct password is rejected (SQL Q06 returns 0 rows)</t>
  </si>
  <si>
    <t xml:space="preserve">Blocked and inactive users cannot log in</t>
  </si>
  <si>
    <t xml:space="preserve">Users with BLOCKED and INACTIVE status exist</t>
  </si>
  <si>
    <t xml:space="preserve">karthik.rao@example.com (BLOCKED) ; anita.desai@example.com (INACTIVE), password Test@1234</t>
  </si>
  <si>
    <t xml:space="preserve">1. Login as the blocked user
2. Login as the inactive user</t>
  </si>
  <si>
    <t xml:space="preserve">Blocked: 'Account blocked, contact support'. Inactive: 'Account is inactive'. No session created</t>
  </si>
  <si>
    <t xml:space="preserve">Logout ends the session</t>
  </si>
  <si>
    <t xml:space="preserve">User logged in</t>
  </si>
  <si>
    <t xml:space="preserve">ravi.kumar@example.com</t>
  </si>
  <si>
    <t xml:space="preserve">1. Click Logout
2. Press browser Back button
3. Try to open the Order History URL directly</t>
  </si>
  <si>
    <t xml:space="preserve">Redirected to Login; protected pages are not accessible after logout</t>
  </si>
  <si>
    <t xml:space="preserve">Search is case-insensitive</t>
  </si>
  <si>
    <t xml:space="preserve">Home page open</t>
  </si>
  <si>
    <t xml:space="preserve">headphones ; HEADPHONES ; HeadPhones</t>
  </si>
  <si>
    <t xml:space="preserve">1. Type each keyword in search box
2. Press Enter</t>
  </si>
  <si>
    <t xml:space="preserve">Same result each time: SoundMax Wireless Headphones</t>
  </si>
  <si>
    <t xml:space="preserve">Search with no matching product</t>
  </si>
  <si>
    <t xml:space="preserve">xyzabc</t>
  </si>
  <si>
    <t xml:space="preserve">1. Search xyzabc</t>
  </si>
  <si>
    <t xml:space="preserve">'No products found' message with suggestion; no error page</t>
  </si>
  <si>
    <t xml:space="preserve">Search keyword length boundary</t>
  </si>
  <si>
    <t xml:space="preserve">1 char: a ; 2 chars: so ; 100 chars of 'a' ; 101 chars of 'a'</t>
  </si>
  <si>
    <t xml:space="preserve">1. Search each value</t>
  </si>
  <si>
    <t xml:space="preserve">1 char: 'Enter at least 2 characters'; 2 chars returns SoundMax; 100 chars handled without error; 101 chars blocked or truncated (BR-05)</t>
  </si>
  <si>
    <t xml:space="preserve">Unsafe text in the search box is treated as plain text</t>
  </si>
  <si>
    <t xml:space="preserve">' OR 1=1 -- ; &lt;script&gt;alert(1)&lt;/script&gt;</t>
  </si>
  <si>
    <t xml:space="preserve">1. Enter each text in search box
2. Press Enter</t>
  </si>
  <si>
    <t xml:space="preserve">No script runs, no database error, not all products returned; shows 'No products found'</t>
  </si>
  <si>
    <t xml:space="preserve">Parent category shows sub-category products</t>
  </si>
  <si>
    <t xml:space="preserve">Products exist under Electronics and Mobiles</t>
  </si>
  <si>
    <t xml:space="preserve">Category: Electronics</t>
  </si>
  <si>
    <t xml:space="preserve">1. Open Electronics category</t>
  </si>
  <si>
    <t xml:space="preserve">6 products shown: Nova X5, Nova Lite, SoundMax, ChargePro, PowerMax Power Bank, Smart Watch Pro (compare with SQL Q10)</t>
  </si>
  <si>
    <t xml:space="preserve">Product details page shows correct data</t>
  </si>
  <si>
    <t xml:space="preserve">Product Nova X5 exists</t>
  </si>
  <si>
    <t xml:space="preserve">Nova X5 Smartphone 128GB</t>
  </si>
  <si>
    <t xml:space="preserve">1. Open the product from search or category
2. Compare page with DB</t>
  </si>
  <si>
    <t xml:space="preserve">Name, description, price Rs.14,999, MRP Rs.17,999, '17% off', 'In Stock' shown correctly (SQL Q11)</t>
  </si>
  <si>
    <t xml:space="preserve">Out-of-stock product cannot be purchased</t>
  </si>
  <si>
    <t xml:space="preserve">Smart Watch Pro stock = 0</t>
  </si>
  <si>
    <t xml:space="preserve">Smart Watch Pro</t>
  </si>
  <si>
    <t xml:space="preserve">1. Open Smart Watch Pro
2. Try to click Add to Cart</t>
  </si>
  <si>
    <t xml:space="preserve">'Out of Stock' label shown and Add to Cart is disabled (BR-07)</t>
  </si>
  <si>
    <t xml:space="preserve">Low-stock message</t>
  </si>
  <si>
    <t xml:space="preserve">PowerMax Power Bank stock = 8</t>
  </si>
  <si>
    <t xml:space="preserve">PowerMax 10000mAh Power Bank</t>
  </si>
  <si>
    <t xml:space="preserve">1. Open the product page</t>
  </si>
  <si>
    <t xml:space="preserve">'Only 8 left' message displayed (SQL Q31 lists the product)</t>
  </si>
  <si>
    <t xml:space="preserve">Add a product to cart</t>
  </si>
  <si>
    <t xml:space="preserve">User logged in; empty cart</t>
  </si>
  <si>
    <t xml:space="preserve">SoundMax Wireless Headphones (Rs.1,499)</t>
  </si>
  <si>
    <t xml:space="preserve">1. Open product page
2. Click Add to Cart
3. Open cart</t>
  </si>
  <si>
    <t xml:space="preserve">Cart icon count 1; cart shows the item, quantity 1, price Rs.1,499. DB: 1 cart_items row (SQL Q12)</t>
  </si>
  <si>
    <t xml:space="preserve">Adding the same product twice increases quantity</t>
  </si>
  <si>
    <t xml:space="preserve">SoundMax already in cart</t>
  </si>
  <si>
    <t xml:space="preserve">SoundMax Wireless Headphones</t>
  </si>
  <si>
    <t xml:space="preserve">1. Click Add to Cart again on the same product
2. Open cart</t>
  </si>
  <si>
    <t xml:space="preserve">Single cart line with quantity 2; no duplicate line (DB unique rule cart_id + product_id)</t>
  </si>
  <si>
    <t xml:space="preserve">Remove an item from the cart</t>
  </si>
  <si>
    <t xml:space="preserve">Cart has 2 items</t>
  </si>
  <si>
    <t xml:space="preserve">SoundMax and Steel Water Bottle</t>
  </si>
  <si>
    <t xml:space="preserve">1. Click Remove on SoundMax
2. Check cart totals</t>
  </si>
  <si>
    <t xml:space="preserve">Item removed, totals recalculated, DB cart_items row deleted</t>
  </si>
  <si>
    <t xml:space="preserve">Cart is saved after logout and login</t>
  </si>
  <si>
    <t xml:space="preserve">Cart has 1 item</t>
  </si>
  <si>
    <t xml:space="preserve">1. Logout
2. Login again
3. Open cart</t>
  </si>
  <si>
    <t xml:space="preserve">Same items and quantities still in cart</t>
  </si>
  <si>
    <t xml:space="preserve">Empty cart behaviour</t>
  </si>
  <si>
    <t xml:space="preserve">User logged in; cart empty</t>
  </si>
  <si>
    <t xml:space="preserve">1. Open cart page</t>
  </si>
  <si>
    <t xml:space="preserve">'Your cart is empty' message; Checkout button disabled</t>
  </si>
  <si>
    <t xml:space="preserve">Increase quantity updates totals</t>
  </si>
  <si>
    <t xml:space="preserve">Steel Water Bottle (Rs.349) in cart, qty 1</t>
  </si>
  <si>
    <t xml:space="preserve">Quantity 1 to 3</t>
  </si>
  <si>
    <t xml:space="preserve">1. Change quantity to 3
2. Click Update</t>
  </si>
  <si>
    <t xml:space="preserve">Line total Rs.1,047 and cart subtotal update immediately; DB quantity = 3</t>
  </si>
  <si>
    <t xml:space="preserve">Maximum quantity per order boundary</t>
  </si>
  <si>
    <t xml:space="preserve">Steel Water Bottle in cart (stock 120)</t>
  </si>
  <si>
    <t xml:space="preserve">Quantity 10 and 11</t>
  </si>
  <si>
    <t xml:space="preserve">1. Set quantity to 10 and update
2. Set quantity to 11 and update</t>
  </si>
  <si>
    <t xml:space="preserve">10 accepted; 11 rejected with 'Maximum 10 per order' (BR-08)</t>
  </si>
  <si>
    <t xml:space="preserve">Minimum quantity boundary</t>
  </si>
  <si>
    <t xml:space="preserve">Item in cart</t>
  </si>
  <si>
    <t xml:space="preserve">Quantity 0 and -1</t>
  </si>
  <si>
    <t xml:space="preserve">1. Enter 0 and update
2. Enter -1 and update</t>
  </si>
  <si>
    <t xml:space="preserve">0 asks to remove the item or is rejected; -1 rejected; cart never holds quantity below 1</t>
  </si>
  <si>
    <t xml:space="preserve">Quantity cannot exceed available stock</t>
  </si>
  <si>
    <t xml:space="preserve">Quantity 8 and 9</t>
  </si>
  <si>
    <t xml:space="preserve">1. Set quantity to 8 and update
2. Set quantity to 9 and update</t>
  </si>
  <si>
    <t xml:space="preserve">8 accepted; 9 rejected with 'Only 8 available' (SQL Q15 returns 0 rows)</t>
  </si>
  <si>
    <t xml:space="preserve">Invalid quantity input</t>
  </si>
  <si>
    <t xml:space="preserve">abc ; 2.5 ; blank</t>
  </si>
  <si>
    <t xml:space="preserve">1. Enter each value in quantity box
2. Click Update</t>
  </si>
  <si>
    <t xml:space="preserve">Each value rejected with a message; previous quantity retained</t>
  </si>
  <si>
    <t xml:space="preserve">Checkout requires login</t>
  </si>
  <si>
    <t xml:space="preserve">User logged out; cart exists in guest session</t>
  </si>
  <si>
    <t xml:space="preserve">1. Click Checkout while logged out</t>
  </si>
  <si>
    <t xml:space="preserve">User is redirected to Login; after login returns to checkout</t>
  </si>
  <si>
    <t xml:space="preserve">Price summary is calculated correctly</t>
  </si>
  <si>
    <t xml:space="preserve">Cart: SoundMax x1 (1499) and ChargePro x2 (599)</t>
  </si>
  <si>
    <t xml:space="preserve">Expected: subtotal 2697.00, shipping 0.00, GST 485.46, total 3182.46</t>
  </si>
  <si>
    <t xml:space="preserve">1. Open Checkout
2. Compare each amount with expected values</t>
  </si>
  <si>
    <t xml:space="preserve">All amounts match BR-09 to BR-11 exactly to 2 decimals</t>
  </si>
  <si>
    <t xml:space="preserve">Functional</t>
  </si>
  <si>
    <t xml:space="preserve">Shipping fee boundary around Rs.500</t>
  </si>
  <si>
    <t xml:space="preserve">Notebook Pack (Rs.250) available</t>
  </si>
  <si>
    <t xml:space="preserve">1 unit: subtotal 250 ; 2 units: subtotal 500</t>
  </si>
  <si>
    <t xml:space="preserve">1. Add 1 Notebook Pack and open Checkout
2. Change quantity to 2 and open Checkout</t>
  </si>
  <si>
    <t xml:space="preserve">1 unit: shipping 40, GST 45.00, total 335.00. 2 units: shipping 0, GST 90.00, total 590.00 (SQL Q18)</t>
  </si>
  <si>
    <t xml:space="preserve">Price change after adding to cart</t>
  </si>
  <si>
    <t xml:space="preserve">SoundMax in cart at Rs.1,499</t>
  </si>
  <si>
    <t xml:space="preserve">Change price in DB to 1399 for the test</t>
  </si>
  <si>
    <t xml:space="preserve">1. Update products.price via SQL
2. Refresh cart and open Checkout</t>
  </si>
  <si>
    <t xml:space="preserve">Checkout uses the latest price and shows a notice about the price change (otherwise log defect; SQL Q14)</t>
  </si>
  <si>
    <t xml:space="preserve">Add a valid new address</t>
  </si>
  <si>
    <t xml:space="preserve">User logged in; at checkout</t>
  </si>
  <si>
    <t xml:space="preserve">Name: Ravi Kumar, Phone: 9876543210, Line1: 12-4 Gandhi Road, City: Tirupati, State: Andhra Pradesh, Pincode: 517501</t>
  </si>
  <si>
    <t xml:space="preserve">1. Click Add New Address
2. Enter data
3. Click Save</t>
  </si>
  <si>
    <t xml:space="preserve">Address saved and selectable. DB: new addresses row linked to the customer</t>
  </si>
  <si>
    <t xml:space="preserve">Mandatory address fields blank</t>
  </si>
  <si>
    <t xml:space="preserve">Add Address form open</t>
  </si>
  <si>
    <t xml:space="preserve">1. Click Save with empty form</t>
  </si>
  <si>
    <t xml:space="preserve">Errors for name, phone, line 1, city, state, pincode; address not saved</t>
  </si>
  <si>
    <t xml:space="preserve">Pincode validation and boundary</t>
  </si>
  <si>
    <t xml:space="preserve">12345 ; 1234567 ; 51750A ; 017501 ; 517501</t>
  </si>
  <si>
    <t xml:space="preserve">1. Enter each pincode with other valid fields
2. Click Save</t>
  </si>
  <si>
    <t xml:space="preserve">First four rejected (length, letters, leading 0); 517501 accepted (BR-12)</t>
  </si>
  <si>
    <t xml:space="preserve">Default address is pre-selected</t>
  </si>
  <si>
    <t xml:space="preserve">Customer has 2 addresses, one default</t>
  </si>
  <si>
    <t xml:space="preserve">1. Go to Checkout
2. Check the selected address
3. Select the other address</t>
  </si>
  <si>
    <t xml:space="preserve">Default (Home - Tirupati) is pre-selected; user can switch; final order uses the chosen address (SQL Q20)</t>
  </si>
  <si>
    <t xml:space="preserve">User cannot use another customer's address</t>
  </si>
  <si>
    <t xml:space="preserve">Two users exist; note an address_id of the other user</t>
  </si>
  <si>
    <t xml:space="preserve">Address ID 3 belongs to Sneha; logged in as Ravi</t>
  </si>
  <si>
    <t xml:space="preserve">1. As Ravi, start checkout
2. Using browser dev tools or URL, change address ID to 3
3. Place order</t>
  </si>
  <si>
    <t xml:space="preserve">Request rejected (error/403); order not created (SQL Q20 returns 0 rows)</t>
  </si>
  <si>
    <t xml:space="preserve">Place an order successfully</t>
  </si>
  <si>
    <t xml:space="preserve">Cart ready, address selected</t>
  </si>
  <si>
    <t xml:space="preserve">SoundMax x1, ChargePro x2, UPI success@shopease</t>
  </si>
  <si>
    <t xml:space="preserve">1. Click Place Order
2. Pay using UPI success@shopease
3. Note the order number</t>
  </si>
  <si>
    <t xml:space="preserve">Order confirmation page with order number. DB: orders, order_items and payments rows created; amounts correct (SQL Q16, Q22, Q24)</t>
  </si>
  <si>
    <t xml:space="preserve">Double click on Place Order</t>
  </si>
  <si>
    <t xml:space="preserve">Cart ready</t>
  </si>
  <si>
    <t xml:space="preserve">Any cart</t>
  </si>
  <si>
    <t xml:space="preserve">1. Double-click the Place Order button quickly
2. Check Order History and DB</t>
  </si>
  <si>
    <t xml:space="preserve">Only one order created; stock reduced only once</t>
  </si>
  <si>
    <t xml:space="preserve">Refresh or Back after order placement</t>
  </si>
  <si>
    <t xml:space="preserve">Order just placed</t>
  </si>
  <si>
    <t xml:space="preserve">1. Press F5 on confirmation page
2. Press Back and resubmit if possible</t>
  </si>
  <si>
    <t xml:space="preserve">No second order is created; user sees the same confirmation or a safe page</t>
  </si>
  <si>
    <t xml:space="preserve">Product becomes out of stock before payment</t>
  </si>
  <si>
    <t xml:space="preserve">Item in cart; checkout page open</t>
  </si>
  <si>
    <t xml:space="preserve">Set stock to 0 via SQL after opening checkout</t>
  </si>
  <si>
    <t xml:space="preserve">1. Open checkout
2. Run: UPDATE inventory SET quantity_available=0 for the product
3. Click Place Order</t>
  </si>
  <si>
    <t xml:space="preserve">Order blocked with 'item out of stock' message; no order or payment row created</t>
  </si>
  <si>
    <t xml:space="preserve">UPI payment success</t>
  </si>
  <si>
    <t xml:space="preserve">Order ready for payment</t>
  </si>
  <si>
    <t xml:space="preserve">UPI ID: success@shopease</t>
  </si>
  <si>
    <t xml:space="preserve">1. Choose UPI
2. Enter UPI ID and pay</t>
  </si>
  <si>
    <t xml:space="preserve">Order CONFIRMED, payment SUCCESS, transaction id saved, paid_at filled (SQL Q28)</t>
  </si>
  <si>
    <t xml:space="preserve">Card payment fails</t>
  </si>
  <si>
    <t xml:space="preserve">Card number ending 0002 (simulated decline), valid expiry and CVV</t>
  </si>
  <si>
    <t xml:space="preserve">1. Choose Debit Card
2. Enter test card and pay</t>
  </si>
  <si>
    <t xml:space="preserve">Message with option to retry; order PAYMENT_FAILED, payment FAILED with reason; stock NOT reduced (SQL Q27)</t>
  </si>
  <si>
    <t xml:space="preserve">COD within the limit</t>
  </si>
  <si>
    <t xml:space="preserve">Order total &lt;= Rs.10,000</t>
  </si>
  <si>
    <t xml:space="preserve">Total Rs.1,353.46</t>
  </si>
  <si>
    <t xml:space="preserve">1. Choose Cash on Delivery
2. Place order</t>
  </si>
  <si>
    <t xml:space="preserve">Order PLACED, payment PENDING, transaction id NULL, stock reduced</t>
  </si>
  <si>
    <t xml:space="preserve">COD not available above Rs.10,000</t>
  </si>
  <si>
    <t xml:space="preserve">Cart with Nova Lite (total 10,618.82)</t>
  </si>
  <si>
    <t xml:space="preserve">Total Rs.10,618.82</t>
  </si>
  <si>
    <t xml:space="preserve">1. Go to payment step</t>
  </si>
  <si>
    <t xml:space="preserve">COD option disabled with a message; online methods available (SQL Q29 returns 0 rows)</t>
  </si>
  <si>
    <t xml:space="preserve">Invalid card details</t>
  </si>
  <si>
    <t xml:space="preserve">Payment page open</t>
  </si>
  <si>
    <t xml:space="preserve">Card 1234 5678 (too short) ; expiry 01/24 (expired) ; CVV 12</t>
  </si>
  <si>
    <t xml:space="preserve">1. Enter each invalid detail
2. Click Pay</t>
  </si>
  <si>
    <t xml:space="preserve">Field-level errors shown; no payment record created</t>
  </si>
  <si>
    <t xml:space="preserve">Order history shows only own orders, newest first</t>
  </si>
  <si>
    <t xml:space="preserve">User has 2 orders</t>
  </si>
  <si>
    <t xml:space="preserve">ravi.kumar@example.com (orders SE-20261005-0006 and SE-20260915-0001)</t>
  </si>
  <si>
    <t xml:space="preserve">1. Login
2. Open My Orders</t>
  </si>
  <si>
    <t xml:space="preserve">Only Ravi's 2 orders, newest first; matches SQL Q21</t>
  </si>
  <si>
    <t xml:space="preserve">Order details match the database</t>
  </si>
  <si>
    <t xml:space="preserve">Order SE-20260915-0001 exists</t>
  </si>
  <si>
    <t xml:space="preserve">Order SE-20260915-0001</t>
  </si>
  <si>
    <t xml:space="preserve">1. Open the order details
2. Run SQL Q22 and compare each field</t>
  </si>
  <si>
    <t xml:space="preserve">Items, quantity, price, shipping, GST, total, address and payment status all match</t>
  </si>
  <si>
    <t xml:space="preserve">Cannot open another user's order by changing the URL</t>
  </si>
  <si>
    <t xml:space="preserve">Logged in as Ravi</t>
  </si>
  <si>
    <t xml:space="preserve">Order ID of Sneha (order 2)</t>
  </si>
  <si>
    <t xml:space="preserve">1. Open Ravi's order details
2. Change order ID in URL to 2</t>
  </si>
  <si>
    <t xml:space="preserve">Access denied or 'Order not found'; no data of another user is shown</t>
  </si>
  <si>
    <t xml:space="preserve">Cancel a PLACED COD order</t>
  </si>
  <si>
    <t xml:space="preserve">COD order in PLACED state; note stock before</t>
  </si>
  <si>
    <t xml:space="preserve">Order SE-20261022-0003</t>
  </si>
  <si>
    <t xml:space="preserve">1. Open order details
2. Click Cancel Order
3. Select reason and confirm</t>
  </si>
  <si>
    <t xml:space="preserve">Order CANCELLED, cancelled_at set, payment CANCELLED, stock restored to previous value (SQL Q26, Q34)</t>
  </si>
  <si>
    <t xml:space="preserve">Cancel a CONFIRMED prepaid order</t>
  </si>
  <si>
    <t xml:space="preserve">UPI order in CONFIRMED state</t>
  </si>
  <si>
    <t xml:space="preserve">Order SE-20261005-0006</t>
  </si>
  <si>
    <t xml:space="preserve">1. Cancel the order with a reason</t>
  </si>
  <si>
    <t xml:space="preserve">Order CANCELLED, payment REFUNDED, stock restored (SQL Q25, Q34)</t>
  </si>
  <si>
    <t xml:space="preserve">Shipped and delivered orders cannot be cancelled</t>
  </si>
  <si>
    <t xml:space="preserve">Orders in SHIPPED and DELIVERED state</t>
  </si>
  <si>
    <t xml:space="preserve">SE-20260918-0002 (SHIPPED), SE-20260915-0001 (DELIVERED)</t>
  </si>
  <si>
    <t xml:space="preserve">1. Open each order
2. Look for the Cancel button
3. Try the cancel request directly via URL</t>
  </si>
  <si>
    <t xml:space="preserve">Cancel option hidden or disabled; direct request rejected; status unchanged (BR-17)</t>
  </si>
  <si>
    <t xml:space="preserve">Cancelling an already cancelled order</t>
  </si>
  <si>
    <t xml:space="preserve">Order already CANCELLED</t>
  </si>
  <si>
    <t xml:space="preserve">Order SE-20260925-0004</t>
  </si>
  <si>
    <t xml:space="preserve">1. Open the order
2. Try to cancel again (repeat the request)</t>
  </si>
  <si>
    <t xml:space="preserve">Rejected; stock restored only once and refund not duplicated</t>
  </si>
  <si>
    <t xml:space="preserve">Cancellation reason is mandatory</t>
  </si>
  <si>
    <t xml:space="preserve">PLACED order available</t>
  </si>
  <si>
    <t xml:space="preserve">Reason: blank ; 'Other' with 201 characters</t>
  </si>
  <si>
    <t xml:space="preserve">1. Click Cancel Order
2. Submit without reason
3. Enter a 201-character reason</t>
  </si>
  <si>
    <t xml:space="preserve">Blank reason rejected; reason over 200 characters rejected (column limit)</t>
  </si>
  <si>
    <t xml:space="preserve">Stock reduces by the ordered quantity</t>
  </si>
  <si>
    <t xml:space="preserve">Note stock of ChargePro (Q34 style check before)</t>
  </si>
  <si>
    <t xml:space="preserve">ChargePro x2 via UPI</t>
  </si>
  <si>
    <t xml:space="preserve">1. Note quantity_available
2. Place and pay for the order
3. Check quantity_available again</t>
  </si>
  <si>
    <t xml:space="preserve">Stock is exactly 2 lower than before</t>
  </si>
  <si>
    <t xml:space="preserve">Failed payment does not reduce stock</t>
  </si>
  <si>
    <t xml:space="preserve">Note stock before</t>
  </si>
  <si>
    <t xml:space="preserve">Card ending 0002</t>
  </si>
  <si>
    <t xml:space="preserve">1. Note stock
2. Place an order and fail the payment
3. Check stock</t>
  </si>
  <si>
    <t xml:space="preserve">Stock unchanged</t>
  </si>
  <si>
    <t xml:space="preserve">Last unit bought by two users at the same time</t>
  </si>
  <si>
    <t xml:space="preserve">Product stock set to 1</t>
  </si>
  <si>
    <t xml:space="preserve">Two browsers: Ravi and Sneha</t>
  </si>
  <si>
    <t xml:space="preserve">1. Both users add the product
2. Both open checkout
3. Both click Place Order within seconds</t>
  </si>
  <si>
    <t xml:space="preserve">Only one order succeeds; other user gets out-of-stock message; stock = 0 (never -1) (SQL Q32)</t>
  </si>
  <si>
    <t xml:space="preserve">Database blocks negative stock</t>
  </si>
  <si>
    <t xml:space="preserve">DB access</t>
  </si>
  <si>
    <t xml:space="preserve">UPDATE inventory SET quantity_available = -1 WHERE product_id = 3</t>
  </si>
  <si>
    <t xml:space="preserve">1. Run the UPDATE in SQL client</t>
  </si>
  <si>
    <t xml:space="preserve">MySQL rejects with CHECK constraint error chk_inventory_qty; data unchanged</t>
  </si>
  <si>
    <t xml:space="preserve">Complete purchase with UPI</t>
  </si>
  <si>
    <t xml:space="preserve">Anitha Rao registered (TC_REG_01)</t>
  </si>
  <si>
    <t xml:space="preserve">Search: headphones; add SoundMax x1 and ChargePro x2; UPI success@shopease</t>
  </si>
  <si>
    <t xml:space="preserve">1. Login
2. Search headphones and add to cart
3. Add ChargePro x2
4. Checkout, select address
5. Pay with UPI
6. Open Order History
7. Run SQL Q22, Q16, Q24, Q34</t>
  </si>
  <si>
    <t xml:space="preserve">Order CONFIRMED; UI and DB agree on items, amounts, payment and stock; all CHECK queries return 0 rows</t>
  </si>
  <si>
    <t xml:space="preserve">COD order then cancellation</t>
  </si>
  <si>
    <t xml:space="preserve">Logged-in user with address</t>
  </si>
  <si>
    <t xml:space="preserve">Steel Water Bottle x2, COD</t>
  </si>
  <si>
    <t xml:space="preserve">1. Add product x2 and place COD order
2. Verify PLACED/PENDING in DB
3. Cancel from Order History
4. Verify status and stock again</t>
  </si>
  <si>
    <t xml:space="preserve">Order moves PLACED to CANCELLED; payment PENDING to CANCELLED; stock restored (SQL Q26, Q34)</t>
  </si>
  <si>
    <t xml:space="preserve">Failed payment then successful retry</t>
  </si>
  <si>
    <t xml:space="preserve">Nova Lite x1; first card ending 0002, then UPI success@shopease</t>
  </si>
  <si>
    <t xml:space="preserve">1. Place order and fail card payment
2. Verify PAYMENT_FAILED and stock unchanged
3. Retry payment using UPI
4. Verify final state in DB</t>
  </si>
  <si>
    <t xml:space="preserve">Single order ends CONFIRMED, payment SUCCESS with transaction id, stock reduced once, no duplicate order (SQL Q19, Q23, Q27)</t>
  </si>
  <si>
    <t xml:space="preserve">Bug ID</t>
  </si>
  <si>
    <t xml:space="preserve">Type</t>
  </si>
  <si>
    <t xml:space="preserve">Summary</t>
  </si>
  <si>
    <t xml:space="preserve">Linked TC</t>
  </si>
  <si>
    <t xml:space="preserve">Steps to Reproduce</t>
  </si>
  <si>
    <t xml:space="preserve">Environment</t>
  </si>
  <si>
    <t xml:space="preserve">Reported By</t>
  </si>
  <si>
    <t xml:space="preserve">Reported Date</t>
  </si>
  <si>
    <t xml:space="preserve">SQL Evidence</t>
  </si>
  <si>
    <t xml:space="preserve">BUG-S01</t>
  </si>
  <si>
    <t xml:space="preserve">SAMPLE</t>
  </si>
  <si>
    <t xml:space="preserve">Cart subtotal wrong after increasing quantity</t>
  </si>
  <si>
    <t xml:space="preserve">User logged in. Steel Water Bottle (Rs.349) in cart with quantity 1.</t>
  </si>
  <si>
    <t xml:space="preserve">1. Open the cart.
2. Change quantity of Steel Water Bottle from 1 to 3.
3. Click Update.
4. Read line total and cart subtotal.</t>
  </si>
  <si>
    <t xml:space="preserve">Line total Rs.1,047.00 and cart subtotal Rs.1,047.00 (Q12 shows the same).</t>
  </si>
  <si>
    <t xml:space="preserve">Line total shows Rs.1,047.00 but cart subtotal shows Rs.698.00 (quantity counted as 2).</t>
  </si>
  <si>
    <t xml:space="preserve">Simulated ShopEase test build v0.1 (fictional), Chrome latest, Windows 11, MySQL 8.0 database shopease_db</t>
  </si>
  <si>
    <t xml:space="preserve">New (SAMPLE, not a real finding)</t>
  </si>
  <si>
    <t xml:space="preserve">Sample</t>
  </si>
  <si>
    <t xml:space="preserve">n/a</t>
  </si>
  <si>
    <t xml:space="preserve">Q12</t>
  </si>
  <si>
    <t xml:space="preserve">BUG-S02</t>
  </si>
  <si>
    <t xml:space="preserve">Stock not reduced after a successful order</t>
  </si>
  <si>
    <t xml:space="preserve">ChargePro stock noted as 200. User has valid cart and address.</t>
  </si>
  <si>
    <t xml:space="preserve">1. Note quantity_available of ChargePro (200).
2. Add ChargePro x2 to cart.
3. Place order and pay with UPI success@shopease.
4. Query inventory for the product.</t>
  </si>
  <si>
    <t xml:space="preserve">quantity_available = 198 (reduced by 2, rule BR-16).</t>
  </si>
  <si>
    <t xml:space="preserve">quantity_available is still 200. Order shows CONFIRMED. Risk of selling stock that does not exist.</t>
  </si>
  <si>
    <t xml:space="preserve">Q34, Q32</t>
  </si>
  <si>
    <t xml:space="preserve">BUG-S03</t>
  </si>
  <si>
    <t xml:space="preserve">Checkout accepts pincode starting with 0</t>
  </si>
  <si>
    <t xml:space="preserve">User at checkout, Add Address form open.</t>
  </si>
  <si>
    <t xml:space="preserve">1. Enter valid name, phone, line 1, city, state.
2. Enter pincode 017501.
3. Click Save and continue to payment.</t>
  </si>
  <si>
    <t xml:space="preserve">Error 'Enter a valid 6-digit pincode' and address not saved (BR-12).</t>
  </si>
  <si>
    <t xml:space="preserve">Address saved and checkout continues. A row with pincode 017501 is stored.</t>
  </si>
  <si>
    <t xml:space="preserve">Q39 (and review addresses table)</t>
  </si>
  <si>
    <t xml:space="preserve">BUG-S04</t>
  </si>
  <si>
    <t xml:space="preserve">Order shows CONFIRMED after card payment failed</t>
  </si>
  <si>
    <t xml:space="preserve">Order ready for payment. Simulated card ending 0002 declines.</t>
  </si>
  <si>
    <t xml:space="preserve">1. Place an order and choose Debit Card.
2. Enter the declined test card with valid expiry and CVV.
3. Click Pay.
4. Open Order History and query the order.</t>
  </si>
  <si>
    <t xml:space="preserve">Order status PAYMENT_FAILED, payment FAILED with a failure reason (BR-15).</t>
  </si>
  <si>
    <t xml:space="preserve">Payment row is FAILED but order status is CONFIRMED, so the order would be shipped without payment.</t>
  </si>
  <si>
    <t xml:space="preserve">Q27, Q28</t>
  </si>
  <si>
    <t xml:space="preserve">BUG-S05</t>
  </si>
  <si>
    <t xml:space="preserve">Double click on Place Order creates two orders</t>
  </si>
  <si>
    <t xml:space="preserve">Cart ready, address selected.</t>
  </si>
  <si>
    <t xml:space="preserve">1. Open checkout.
2. Double-click Place Order quickly.
3. Open Order History and query orders for the customer.</t>
  </si>
  <si>
    <t xml:space="preserve">Exactly one order is created.</t>
  </si>
  <si>
    <t xml:space="preserve">Two orders with different order numbers and the same items are created; stock reduced twice.</t>
  </si>
  <si>
    <t xml:space="preserve">Q46, Q30, Q34</t>
  </si>
  <si>
    <t xml:space="preserve">BUG-S06</t>
  </si>
  <si>
    <t xml:space="preserve">Cash on Delivery offered for order above Rs.10,000</t>
  </si>
  <si>
    <t xml:space="preserve">Cart contains Nova Lite Smartphone (total Rs.10,618.82).</t>
  </si>
  <si>
    <t xml:space="preserve">1. Open checkout with the cart.
2. Go to payment step.
3. Select Cash on Delivery and place the order.</t>
  </si>
  <si>
    <t xml:space="preserve">COD option disabled with a message (BR-13).</t>
  </si>
  <si>
    <t xml:space="preserve">COD is selectable and the order is placed with total 10,618.82.</t>
  </si>
  <si>
    <t xml:space="preserve">Q29</t>
  </si>
  <si>
    <t xml:space="preserve">BUG-S07</t>
  </si>
  <si>
    <t xml:space="preserve">Account not blocked after 5 wrong passwords</t>
  </si>
  <si>
    <t xml:space="preserve">User priya.nair@example.com ACTIVE with 0 failed attempts.</t>
  </si>
  <si>
    <t xml:space="preserve">1. Enter a wrong password 5 times.
2. Enter the correct password Test@1234.</t>
  </si>
  <si>
    <t xml:space="preserve">Account status BLOCKED after the 5th failure; correct password rejected (BR-04).</t>
  </si>
  <si>
    <t xml:space="preserve">Status stays ACTIVE with failed_login_attempts 6; login with the correct password succeeds.</t>
  </si>
  <si>
    <t xml:space="preserve">Q06</t>
  </si>
  <si>
    <t xml:space="preserve">BUG-S08</t>
  </si>
  <si>
    <t xml:space="preserve">Cancelled prepaid order is not refunded</t>
  </si>
  <si>
    <t xml:space="preserve">UPI order in CONFIRMED state.</t>
  </si>
  <si>
    <t xml:space="preserve">1. Open the order in My Orders.
2. Click Cancel Order and choose a reason.
3. Query orders and payments for the order.</t>
  </si>
  <si>
    <t xml:space="preserve">Order CANCELLED, payment REFUNDED (BR-17).</t>
  </si>
  <si>
    <t xml:space="preserve">Order CANCELLED but payment still SUCCESS; no refund recorded.</t>
  </si>
  <si>
    <t xml:space="preserve">Q25, Q40</t>
  </si>
  <si>
    <t xml:space="preserve">BUG-S09</t>
  </si>
  <si>
    <t xml:space="preserve">Shipping fee charged when subtotal is exactly Rs.500</t>
  </si>
  <si>
    <t xml:space="preserve">Notebook Pack (Rs.250) available.</t>
  </si>
  <si>
    <t xml:space="preserve">1. Add 2 Notebook Packs (subtotal Rs.500).
2. Open checkout and read shipping fee.</t>
  </si>
  <si>
    <t xml:space="preserve">Shipping Rs.0, GST 90.00, total 590.00 (BR-10: free from Rs.500).</t>
  </si>
  <si>
    <t xml:space="preserve">Shipping Rs.40.00 and total 630.00 (rule applied as 'above 500').</t>
  </si>
  <si>
    <t xml:space="preserve">Q18, Q16</t>
  </si>
  <si>
    <t xml:space="preserve">BUG-S10</t>
  </si>
  <si>
    <t xml:space="preserve">Brand name misspelled in site header</t>
  </si>
  <si>
    <t xml:space="preserve">Home page open.</t>
  </si>
  <si>
    <t xml:space="preserve">1. Open the home page.
2. Read the header text.</t>
  </si>
  <si>
    <t xml:space="preserve">Header shows 'ShopEase'.</t>
  </si>
  <si>
    <t xml:space="preserve">Header shows 'ShopEse'.</t>
  </si>
  <si>
    <t xml:space="preserve">None (UI text only)</t>
  </si>
  <si>
    <t xml:space="preserve">ACTUAL</t>
  </si>
  <si>
    <t xml:space="preserve">Requirement ID</t>
  </si>
  <si>
    <t xml:space="preserve">Test Case ID</t>
  </si>
  <si>
    <t xml:space="preserve">Manual Test</t>
  </si>
  <si>
    <t xml:space="preserve">Related Database Table</t>
  </si>
  <si>
    <t xml:space="preserve">SQL Validation Query ID</t>
  </si>
  <si>
    <t xml:space="preserve">Expected Database State</t>
  </si>
  <si>
    <t xml:space="preserve">Execution Status</t>
  </si>
  <si>
    <t xml:space="preserve">FR-01 (BR-01, BR-02, BR-03)</t>
  </si>
  <si>
    <t xml:space="preserve">customers</t>
  </si>
  <si>
    <t xml:space="preserve">Q01, Q02, Q03, Q44</t>
  </si>
  <si>
    <t xml:space="preserve">1 new customers row; status ACTIVE; failed_login_attempts 0; password_hash is not plain text</t>
  </si>
  <si>
    <t xml:space="preserve">FR-01 (BR-01)</t>
  </si>
  <si>
    <t xml:space="preserve">Q02</t>
  </si>
  <si>
    <t xml:space="preserve">Row count unchanged; no duplicate email</t>
  </si>
  <si>
    <t xml:space="preserve">Q03</t>
  </si>
  <si>
    <t xml:space="preserve">Row count unchanged; no duplicate phone</t>
  </si>
  <si>
    <t xml:space="preserve">Q04</t>
  </si>
  <si>
    <t xml:space="preserve">No new row; no invalid email stored</t>
  </si>
  <si>
    <t xml:space="preserve">FR-01</t>
  </si>
  <si>
    <t xml:space="preserve">Q39, Q44</t>
  </si>
  <si>
    <t xml:space="preserve">No new row; no blank mandatory value stored</t>
  </si>
  <si>
    <t xml:space="preserve">FR-01 (BR-02)</t>
  </si>
  <si>
    <t xml:space="preserve">Q44</t>
  </si>
  <si>
    <t xml:space="preserve">No new row for each weak password</t>
  </si>
  <si>
    <t xml:space="preserve">New rows only for 8 and 20 character passwords; none for 7 and 21</t>
  </si>
  <si>
    <t xml:space="preserve">No new row</t>
  </si>
  <si>
    <t xml:space="preserve">No new row; stored phones are all 10 digits starting 6-9</t>
  </si>
  <si>
    <t xml:space="preserve">FR-02</t>
  </si>
  <si>
    <t xml:space="preserve">last_login_at updated; failed_login_attempts = 0</t>
  </si>
  <si>
    <t xml:space="preserve">FR-02 (BR-04)</t>
  </si>
  <si>
    <t xml:space="preserve">failed_login_attempts increased by 1; status still ACTIVE</t>
  </si>
  <si>
    <t xml:space="preserve">No change in any table</t>
  </si>
  <si>
    <t xml:space="preserve">No change in failed_login_attempts</t>
  </si>
  <si>
    <t xml:space="preserve">After 4 failures status ACTIVE; after the 5th status BLOCKED</t>
  </si>
  <si>
    <t xml:space="preserve">Status remains BLOCKED / INACTIVE; last_login_at unchanged</t>
  </si>
  <si>
    <t xml:space="preserve">None (session only)</t>
  </si>
  <si>
    <t xml:space="preserve">-</t>
  </si>
  <si>
    <t xml:space="preserve">No database change; verify by UI</t>
  </si>
  <si>
    <t xml:space="preserve">FR-03 (BR-05)</t>
  </si>
  <si>
    <t xml:space="preserve">products</t>
  </si>
  <si>
    <t xml:space="preserve">Q10</t>
  </si>
  <si>
    <t xml:space="preserve">Read-only; result matches products with name containing 'headphones'</t>
  </si>
  <si>
    <t xml:space="preserve">FR-03</t>
  </si>
  <si>
    <t xml:space="preserve">No database change</t>
  </si>
  <si>
    <t xml:space="preserve">all tables</t>
  </si>
  <si>
    <t xml:space="preserve">Row counts of all tables unchanged (no injection effect)</t>
  </si>
  <si>
    <t xml:space="preserve">FR-04 (BR-06)</t>
  </si>
  <si>
    <t xml:space="preserve">categories, products</t>
  </si>
  <si>
    <t xml:space="preserve">UI count for Electronics equals Q10 (6 on sample data)</t>
  </si>
  <si>
    <t xml:space="preserve">FR-04</t>
  </si>
  <si>
    <t xml:space="preserve">Q07, Q08, Q09, Q11</t>
  </si>
  <si>
    <t xml:space="preserve">UI price, MRP and discount % equal database values</t>
  </si>
  <si>
    <t xml:space="preserve">FR-04 (BR-07)</t>
  </si>
  <si>
    <t xml:space="preserve">products, inventory</t>
  </si>
  <si>
    <t xml:space="preserve">Q31</t>
  </si>
  <si>
    <t xml:space="preserve">Smart Watch Pro quantity_available = 0</t>
  </si>
  <si>
    <t xml:space="preserve">PowerMax Power Bank quantity_available = 8 (&lt;= reorder level)</t>
  </si>
  <si>
    <t xml:space="preserve">FR-05</t>
  </si>
  <si>
    <t xml:space="preserve">carts, cart_items</t>
  </si>
  <si>
    <t xml:space="preserve">Q12, Q14</t>
  </si>
  <si>
    <t xml:space="preserve">1 cart_items row for the product, quantity 1, unit_price 1499.00</t>
  </si>
  <si>
    <t xml:space="preserve">cart_items</t>
  </si>
  <si>
    <t xml:space="preserve">Still one cart_items row for the product, quantity 2</t>
  </si>
  <si>
    <t xml:space="preserve">Removed product row is gone; remaining total matches the UI</t>
  </si>
  <si>
    <t xml:space="preserve">Q12, Q13</t>
  </si>
  <si>
    <t xml:space="preserve">Same cart_items rows; one ACTIVE cart per customer</t>
  </si>
  <si>
    <t xml:space="preserve">Cart has no cart_items rows</t>
  </si>
  <si>
    <t xml:space="preserve">FR-06</t>
  </si>
  <si>
    <t xml:space="preserve">quantity = 3; cart value updated</t>
  </si>
  <si>
    <t xml:space="preserve">FR-06 (BR-08)</t>
  </si>
  <si>
    <t xml:space="preserve">cart_items, products</t>
  </si>
  <si>
    <t xml:space="preserve">Q15</t>
  </si>
  <si>
    <t xml:space="preserve">quantity = 10 allowed; 11 never stored</t>
  </si>
  <si>
    <t xml:space="preserve">No row with quantity below 1</t>
  </si>
  <si>
    <t xml:space="preserve">cart_items, inventory</t>
  </si>
  <si>
    <t xml:space="preserve">quantity 8 stored; 9 never stored</t>
  </si>
  <si>
    <t xml:space="preserve">Quantity unchanged after invalid input</t>
  </si>
  <si>
    <t xml:space="preserve">FR-07</t>
  </si>
  <si>
    <t xml:space="preserve">No order or cart change</t>
  </si>
  <si>
    <t xml:space="preserve">FR-07 (BR-09, BR-10, BR-11)</t>
  </si>
  <si>
    <t xml:space="preserve">Q12, Q16, Q17</t>
  </si>
  <si>
    <t xml:space="preserve">Cart value 2697.00 equals checkout subtotal; later order total equals 3182.46</t>
  </si>
  <si>
    <t xml:space="preserve">FR-07 (BR-10)</t>
  </si>
  <si>
    <t xml:space="preserve">orders</t>
  </si>
  <si>
    <t xml:space="preserve">Q18</t>
  </si>
  <si>
    <t xml:space="preserve">Order of 250 has shipping_fee 40; order of 500 has shipping_fee 0</t>
  </si>
  <si>
    <t xml:space="preserve">Q14</t>
  </si>
  <si>
    <t xml:space="preserve">Checkout uses products.price; Q14 shows no stale price after refresh</t>
  </si>
  <si>
    <t xml:space="preserve">FR-08 (BR-12)</t>
  </si>
  <si>
    <t xml:space="preserve">addresses</t>
  </si>
  <si>
    <t xml:space="preserve">Q47, Q39</t>
  </si>
  <si>
    <t xml:space="preserve">1 new addresses row linked to the logged-in customer</t>
  </si>
  <si>
    <t xml:space="preserve">FR-08</t>
  </si>
  <si>
    <t xml:space="preserve">Q39</t>
  </si>
  <si>
    <t xml:space="preserve">Only the 517501 address is stored</t>
  </si>
  <si>
    <t xml:space="preserve">addresses, orders</t>
  </si>
  <si>
    <t xml:space="preserve">Q05, Q20</t>
  </si>
  <si>
    <t xml:space="preserve">Exactly one default address per customer; order uses chosen address</t>
  </si>
  <si>
    <t xml:space="preserve">FR-08 (BR-18)</t>
  </si>
  <si>
    <t xml:space="preserve">orders, addresses</t>
  </si>
  <si>
    <t xml:space="preserve">Q20</t>
  </si>
  <si>
    <t xml:space="preserve">No order exists whose address belongs to another customer</t>
  </si>
  <si>
    <t xml:space="preserve">FR-09</t>
  </si>
  <si>
    <t xml:space="preserve">orders, order_items, payments, inventory</t>
  </si>
  <si>
    <t xml:space="preserve">Q16, Q19, Q22, Q23, Q24, Q34</t>
  </si>
  <si>
    <t xml:space="preserve">1 order, correct items, 1 payment with equal amount, stock reduced by ordered quantity</t>
  </si>
  <si>
    <t xml:space="preserve">orders, order_items, payments</t>
  </si>
  <si>
    <t xml:space="preserve">Q30, Q46, Q23</t>
  </si>
  <si>
    <t xml:space="preserve">Exactly one new order; no duplicate lines or transactions; stock reduced once</t>
  </si>
  <si>
    <t xml:space="preserve">Q23, Q46</t>
  </si>
  <si>
    <t xml:space="preserve">Order count unchanged after refresh/back</t>
  </si>
  <si>
    <t xml:space="preserve">FR-09 (BR-16)</t>
  </si>
  <si>
    <t xml:space="preserve">inventory, orders</t>
  </si>
  <si>
    <t xml:space="preserve">Q32, Q44</t>
  </si>
  <si>
    <t xml:space="preserve">No new order or payment row; stock stays 0, not negative</t>
  </si>
  <si>
    <t xml:space="preserve">FR-10 (BR-15)</t>
  </si>
  <si>
    <t xml:space="preserve">orders, payments</t>
  </si>
  <si>
    <t xml:space="preserve">Q28, Q41</t>
  </si>
  <si>
    <t xml:space="preserve">Order CONFIRMED; payment SUCCESS with transaction_id and paid_at</t>
  </si>
  <si>
    <t xml:space="preserve">FR-10 (BR-15, BR-16)</t>
  </si>
  <si>
    <t xml:space="preserve">orders, payments, inventory</t>
  </si>
  <si>
    <t xml:space="preserve">Q27, Q41, Q34</t>
  </si>
  <si>
    <t xml:space="preserve">Order PAYMENT_FAILED; payment FAILED with reason; stock unchanged</t>
  </si>
  <si>
    <t xml:space="preserve">FR-10 (BR-13, BR-15)</t>
  </si>
  <si>
    <t xml:space="preserve">Q29, Q42</t>
  </si>
  <si>
    <t xml:space="preserve">Order PLACED; payment PENDING; transaction_id NULL; stock reduced</t>
  </si>
  <si>
    <t xml:space="preserve">FR-10 (BR-13)</t>
  </si>
  <si>
    <t xml:space="preserve">No COD order above 10000</t>
  </si>
  <si>
    <t xml:space="preserve">FR-10</t>
  </si>
  <si>
    <t xml:space="preserve">payments</t>
  </si>
  <si>
    <t xml:space="preserve">Q23</t>
  </si>
  <si>
    <t xml:space="preserve">No payment row created</t>
  </si>
  <si>
    <t xml:space="preserve">FR-11 (BR-18)</t>
  </si>
  <si>
    <t xml:space="preserve">Q21</t>
  </si>
  <si>
    <t xml:space="preserve">UI list equals the Q21 result for that customer</t>
  </si>
  <si>
    <t xml:space="preserve">FR-11</t>
  </si>
  <si>
    <t xml:space="preserve">orders, order_items, products, addresses, payments</t>
  </si>
  <si>
    <t xml:space="preserve">Q22</t>
  </si>
  <si>
    <t xml:space="preserve">Every UI field equals the Q22 row values</t>
  </si>
  <si>
    <t xml:space="preserve">No data change; access denied for another customer's order</t>
  </si>
  <si>
    <t xml:space="preserve">FR-12 (BR-17)</t>
  </si>
  <si>
    <t xml:space="preserve">Q26, Q34, Q40</t>
  </si>
  <si>
    <t xml:space="preserve">Order CANCELLED with cancelled_at and reason; payment CANCELLED; stock restored</t>
  </si>
  <si>
    <t xml:space="preserve">Q25, Q34, Q40</t>
  </si>
  <si>
    <t xml:space="preserve">Order CANCELLED; payment REFUNDED; stock restored</t>
  </si>
  <si>
    <t xml:space="preserve">Q40</t>
  </si>
  <si>
    <t xml:space="preserve">SHIPPED and DELIVERED orders keep status; cancelled_at stays NULL</t>
  </si>
  <si>
    <t xml:space="preserve">Q25, Q34</t>
  </si>
  <si>
    <t xml:space="preserve">Stock restored once only; payment not refunded twice</t>
  </si>
  <si>
    <t xml:space="preserve">FR-12</t>
  </si>
  <si>
    <t xml:space="preserve">No cancellation stored without a reason</t>
  </si>
  <si>
    <t xml:space="preserve">FR-13 (BR-16)</t>
  </si>
  <si>
    <t xml:space="preserve">inventory, order_items</t>
  </si>
  <si>
    <t xml:space="preserve">quantity_available reduced by exactly the ordered quantity (2)</t>
  </si>
  <si>
    <t xml:space="preserve">Q34, Q27</t>
  </si>
  <si>
    <t xml:space="preserve">Stock equals value noted before the test</t>
  </si>
  <si>
    <t xml:space="preserve">Q32</t>
  </si>
  <si>
    <t xml:space="preserve">One new order only; stock = 0 and never negative</t>
  </si>
  <si>
    <t xml:space="preserve">FR-13</t>
  </si>
  <si>
    <t xml:space="preserve">inventory</t>
  </si>
  <si>
    <t xml:space="preserve">MySQL rejects the UPDATE; stock unchanged</t>
  </si>
  <si>
    <t xml:space="preserve">FR-01 to FR-11</t>
  </si>
  <si>
    <t xml:space="preserve">customers, carts, cart_items, orders, order_items, payments, inventory</t>
  </si>
  <si>
    <t xml:space="preserve">Q01, Q16, Q19, Q22, Q23, Q24, Q28, Q34, Q43, Q45, Q48</t>
  </si>
  <si>
    <t xml:space="preserve">Order CONFIRMED; items, amounts, payment and stock all consistent; all CHECK queries return 0 rows</t>
  </si>
  <si>
    <t xml:space="preserve">FR-09, FR-10, FR-12, FR-13</t>
  </si>
  <si>
    <t xml:space="preserve">PLACED/PENDING then CANCELLED/CANCELLED; stock back to the start value</t>
  </si>
  <si>
    <t xml:space="preserve">FR-09, FR-10, FR-13</t>
  </si>
  <si>
    <t xml:space="preserve">Q19, Q23, Q27, Q28, Q34</t>
  </si>
  <si>
    <t xml:space="preserve">One order ends CONFIRMED; one payment SUCCESS; stock reduced once</t>
  </si>
</sst>
</file>

<file path=xl/styles.xml><?xml version="1.0" encoding="utf-8"?>
<styleSheet xmlns="http://schemas.openxmlformats.org/spreadsheetml/2006/main">
  <numFmts count="3">
    <numFmt numFmtId="164" formatCode="General"/>
    <numFmt numFmtId="165" formatCode="General"/>
    <numFmt numFmtId="166" formatCode="0.0%"/>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i val="true"/>
      <sz val="10"/>
      <name val="Arial"/>
      <family val="0"/>
      <charset val="1"/>
    </font>
    <font>
      <b val="true"/>
      <sz val="10"/>
      <color rgb="FFFFFFFF"/>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FFF2CC"/>
        <bgColor rgb="FFFFEB9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bgColor rgb="FFC6EFCE"/>
        </patternFill>
      </fill>
    </dxf>
    <dxf>
      <fill>
        <patternFill>
          <bgColor rgb="FFFFC7CE"/>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row>
    <row r="11" customFormat="false" ht="15" hidden="false" customHeight="false" outlineLevel="0" collapsed="false">
      <c r="A11" s="3" t="s">
        <v>8</v>
      </c>
    </row>
    <row r="12" customFormat="false" ht="23.8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row>
    <row r="15" customFormat="false" ht="15" hidden="false" customHeight="false" outlineLevel="0" collapsed="false">
      <c r="A15" s="3" t="s">
        <v>11</v>
      </c>
    </row>
    <row r="16" customFormat="false" ht="15" hidden="false" customHeight="false" outlineLevel="0" collapsed="false">
      <c r="A16" s="2" t="s">
        <v>12</v>
      </c>
    </row>
    <row r="17" customFormat="false" ht="15" hidden="false" customHeight="false" outlineLevel="0" collapsed="false">
      <c r="A17" s="2"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6"/>
    <col collapsed="false" customWidth="true" hidden="false" outlineLevel="0" max="3" min="3" style="0" width="34"/>
    <col collapsed="false" customWidth="true" hidden="false" outlineLevel="0" max="6" min="4" style="0" width="16"/>
  </cols>
  <sheetData>
    <row r="1" customFormat="false" ht="17.35" hidden="false" customHeight="false" outlineLevel="0" collapsed="false">
      <c r="A1" s="4" t="s">
        <v>14</v>
      </c>
    </row>
    <row r="2" customFormat="false" ht="15" hidden="false" customHeight="false" outlineLevel="0" collapsed="false">
      <c r="A2" s="5" t="s">
        <v>15</v>
      </c>
    </row>
    <row r="4" customFormat="false" ht="15" hidden="false" customHeight="false" outlineLevel="0" collapsed="false">
      <c r="A4" s="6" t="s">
        <v>16</v>
      </c>
      <c r="B4" s="7" t="n">
        <f aca="false">COUNTA('Execution Tracker'!A2:A68)</f>
        <v>67</v>
      </c>
    </row>
    <row r="5" customFormat="false" ht="15" hidden="false" customHeight="false" outlineLevel="0" collapsed="false">
      <c r="A5" s="7" t="s">
        <v>17</v>
      </c>
      <c r="B5" s="7" t="n">
        <f aca="false">COUNTIF('Execution Tracker'!D2:D68,"Pass")</f>
        <v>0</v>
      </c>
    </row>
    <row r="6" customFormat="false" ht="15" hidden="false" customHeight="false" outlineLevel="0" collapsed="false">
      <c r="A6" s="7" t="s">
        <v>18</v>
      </c>
      <c r="B6" s="7" t="n">
        <f aca="false">COUNTIF('Execution Tracker'!D2:D68,"Fail")</f>
        <v>0</v>
      </c>
    </row>
    <row r="7" customFormat="false" ht="15" hidden="false" customHeight="false" outlineLevel="0" collapsed="false">
      <c r="A7" s="7" t="s">
        <v>19</v>
      </c>
      <c r="B7" s="7" t="n">
        <f aca="false">COUNTIF('Execution Tracker'!D2:D68,"Blocked")</f>
        <v>0</v>
      </c>
    </row>
    <row r="8" customFormat="false" ht="15" hidden="false" customHeight="false" outlineLevel="0" collapsed="false">
      <c r="A8" s="7" t="s">
        <v>20</v>
      </c>
      <c r="B8" s="7" t="n">
        <f aca="false">COUNTIF('Execution Tracker'!D2:D68,"Not Executed")</f>
        <v>67</v>
      </c>
    </row>
    <row r="9" customFormat="false" ht="15" hidden="false" customHeight="false" outlineLevel="0" collapsed="false">
      <c r="A9" s="7" t="s">
        <v>21</v>
      </c>
      <c r="B9" s="7" t="n">
        <f aca="false">B5+B6+B7</f>
        <v>0</v>
      </c>
    </row>
    <row r="10" customFormat="false" ht="15" hidden="false" customHeight="false" outlineLevel="0" collapsed="false">
      <c r="A10" s="7" t="s">
        <v>22</v>
      </c>
      <c r="B10" s="8" t="str">
        <f aca="false">IF(B9=0,"Not started",B5/B9)</f>
        <v>Not started</v>
      </c>
    </row>
    <row r="11" customFormat="false" ht="15" hidden="false" customHeight="false" outlineLevel="0" collapsed="false">
      <c r="A11" s="7" t="s">
        <v>23</v>
      </c>
      <c r="B11" s="8" t="n">
        <f aca="false">IF(B4=0,"n/a",B9/B4)</f>
        <v>0</v>
      </c>
    </row>
    <row r="12" customFormat="false" ht="15" hidden="false" customHeight="false" outlineLevel="0" collapsed="false">
      <c r="A12" s="7" t="s">
        <v>24</v>
      </c>
      <c r="B12" s="7" t="str">
        <f aca="false">IF(B5+B6+B7+B8=B4,"OK","CHECK STATUS VALUES")</f>
        <v>OK</v>
      </c>
    </row>
    <row r="14" customFormat="false" ht="15" hidden="false" customHeight="false" outlineLevel="0" collapsed="false">
      <c r="A14" s="6" t="s">
        <v>25</v>
      </c>
    </row>
    <row r="15" customFormat="false" ht="15" hidden="false" customHeight="false" outlineLevel="0" collapsed="false">
      <c r="A15" s="9" t="s">
        <v>26</v>
      </c>
      <c r="B15" s="9" t="s">
        <v>27</v>
      </c>
      <c r="C15" s="9" t="s">
        <v>17</v>
      </c>
      <c r="D15" s="9" t="s">
        <v>18</v>
      </c>
      <c r="E15" s="9" t="s">
        <v>19</v>
      </c>
      <c r="F15" s="9" t="s">
        <v>20</v>
      </c>
    </row>
    <row r="16" customFormat="false" ht="15" hidden="false" customHeight="false" outlineLevel="0" collapsed="false">
      <c r="A16" s="7" t="s">
        <v>28</v>
      </c>
      <c r="B16" s="7" t="n">
        <f aca="false">COUNTIF('Execution Tracker'!$B$2:$B$68,A16)</f>
        <v>9</v>
      </c>
      <c r="C16" s="7" t="n">
        <f aca="false">COUNTIFS('Execution Tracker'!$B$2:$B$68,$A16,'Execution Tracker'!$D$2:$D$68,"Pass")</f>
        <v>0</v>
      </c>
      <c r="D16" s="7" t="n">
        <f aca="false">COUNTIFS('Execution Tracker'!$B$2:$B$68,$A16,'Execution Tracker'!$D$2:$D$68,"Fail")</f>
        <v>0</v>
      </c>
      <c r="E16" s="7" t="n">
        <f aca="false">COUNTIFS('Execution Tracker'!$B$2:$B$68,$A16,'Execution Tracker'!$D$2:$D$68,"Blocked")</f>
        <v>0</v>
      </c>
      <c r="F16" s="7" t="n">
        <f aca="false">COUNTIFS('Execution Tracker'!$B$2:$B$68,$A16,'Execution Tracker'!$D$2:$D$68,"Not Executed")</f>
        <v>9</v>
      </c>
    </row>
    <row r="17" customFormat="false" ht="15" hidden="false" customHeight="false" outlineLevel="0" collapsed="false">
      <c r="A17" s="7" t="s">
        <v>29</v>
      </c>
      <c r="B17" s="7" t="n">
        <f aca="false">COUNTIF('Execution Tracker'!$B$2:$B$68,A17)</f>
        <v>7</v>
      </c>
      <c r="C17" s="7" t="n">
        <f aca="false">COUNTIFS('Execution Tracker'!$B$2:$B$68,$A17,'Execution Tracker'!$D$2:$D$68,"Pass")</f>
        <v>0</v>
      </c>
      <c r="D17" s="7" t="n">
        <f aca="false">COUNTIFS('Execution Tracker'!$B$2:$B$68,$A17,'Execution Tracker'!$D$2:$D$68,"Fail")</f>
        <v>0</v>
      </c>
      <c r="E17" s="7" t="n">
        <f aca="false">COUNTIFS('Execution Tracker'!$B$2:$B$68,$A17,'Execution Tracker'!$D$2:$D$68,"Blocked")</f>
        <v>0</v>
      </c>
      <c r="F17" s="7" t="n">
        <f aca="false">COUNTIFS('Execution Tracker'!$B$2:$B$68,$A17,'Execution Tracker'!$D$2:$D$68,"Not Executed")</f>
        <v>7</v>
      </c>
    </row>
    <row r="18" customFormat="false" ht="15" hidden="false" customHeight="false" outlineLevel="0" collapsed="false">
      <c r="A18" s="7" t="s">
        <v>30</v>
      </c>
      <c r="B18" s="7" t="n">
        <f aca="false">COUNTIF('Execution Tracker'!$B$2:$B$68,A18)</f>
        <v>4</v>
      </c>
      <c r="C18" s="7" t="n">
        <f aca="false">COUNTIFS('Execution Tracker'!$B$2:$B$68,$A18,'Execution Tracker'!$D$2:$D$68,"Pass")</f>
        <v>0</v>
      </c>
      <c r="D18" s="7" t="n">
        <f aca="false">COUNTIFS('Execution Tracker'!$B$2:$B$68,$A18,'Execution Tracker'!$D$2:$D$68,"Fail")</f>
        <v>0</v>
      </c>
      <c r="E18" s="7" t="n">
        <f aca="false">COUNTIFS('Execution Tracker'!$B$2:$B$68,$A18,'Execution Tracker'!$D$2:$D$68,"Blocked")</f>
        <v>0</v>
      </c>
      <c r="F18" s="7" t="n">
        <f aca="false">COUNTIFS('Execution Tracker'!$B$2:$B$68,$A18,'Execution Tracker'!$D$2:$D$68,"Not Executed")</f>
        <v>4</v>
      </c>
    </row>
    <row r="19" customFormat="false" ht="15" hidden="false" customHeight="false" outlineLevel="0" collapsed="false">
      <c r="A19" s="7" t="s">
        <v>31</v>
      </c>
      <c r="B19" s="7" t="n">
        <f aca="false">COUNTIF('Execution Tracker'!$B$2:$B$68,A19)</f>
        <v>4</v>
      </c>
      <c r="C19" s="7" t="n">
        <f aca="false">COUNTIFS('Execution Tracker'!$B$2:$B$68,$A19,'Execution Tracker'!$D$2:$D$68,"Pass")</f>
        <v>0</v>
      </c>
      <c r="D19" s="7" t="n">
        <f aca="false">COUNTIFS('Execution Tracker'!$B$2:$B$68,$A19,'Execution Tracker'!$D$2:$D$68,"Fail")</f>
        <v>0</v>
      </c>
      <c r="E19" s="7" t="n">
        <f aca="false">COUNTIFS('Execution Tracker'!$B$2:$B$68,$A19,'Execution Tracker'!$D$2:$D$68,"Blocked")</f>
        <v>0</v>
      </c>
      <c r="F19" s="7" t="n">
        <f aca="false">COUNTIFS('Execution Tracker'!$B$2:$B$68,$A19,'Execution Tracker'!$D$2:$D$68,"Not Executed")</f>
        <v>4</v>
      </c>
    </row>
    <row r="20" customFormat="false" ht="15" hidden="false" customHeight="false" outlineLevel="0" collapsed="false">
      <c r="A20" s="7" t="s">
        <v>32</v>
      </c>
      <c r="B20" s="7" t="n">
        <f aca="false">COUNTIF('Execution Tracker'!$B$2:$B$68,A20)</f>
        <v>5</v>
      </c>
      <c r="C20" s="7" t="n">
        <f aca="false">COUNTIFS('Execution Tracker'!$B$2:$B$68,$A20,'Execution Tracker'!$D$2:$D$68,"Pass")</f>
        <v>0</v>
      </c>
      <c r="D20" s="7" t="n">
        <f aca="false">COUNTIFS('Execution Tracker'!$B$2:$B$68,$A20,'Execution Tracker'!$D$2:$D$68,"Fail")</f>
        <v>0</v>
      </c>
      <c r="E20" s="7" t="n">
        <f aca="false">COUNTIFS('Execution Tracker'!$B$2:$B$68,$A20,'Execution Tracker'!$D$2:$D$68,"Blocked")</f>
        <v>0</v>
      </c>
      <c r="F20" s="7" t="n">
        <f aca="false">COUNTIFS('Execution Tracker'!$B$2:$B$68,$A20,'Execution Tracker'!$D$2:$D$68,"Not Executed")</f>
        <v>5</v>
      </c>
    </row>
    <row r="21" customFormat="false" ht="15" hidden="false" customHeight="false" outlineLevel="0" collapsed="false">
      <c r="A21" s="7" t="s">
        <v>33</v>
      </c>
      <c r="B21" s="7" t="n">
        <f aca="false">COUNTIF('Execution Tracker'!$B$2:$B$68,A21)</f>
        <v>5</v>
      </c>
      <c r="C21" s="7" t="n">
        <f aca="false">COUNTIFS('Execution Tracker'!$B$2:$B$68,$A21,'Execution Tracker'!$D$2:$D$68,"Pass")</f>
        <v>0</v>
      </c>
      <c r="D21" s="7" t="n">
        <f aca="false">COUNTIFS('Execution Tracker'!$B$2:$B$68,$A21,'Execution Tracker'!$D$2:$D$68,"Fail")</f>
        <v>0</v>
      </c>
      <c r="E21" s="7" t="n">
        <f aca="false">COUNTIFS('Execution Tracker'!$B$2:$B$68,$A21,'Execution Tracker'!$D$2:$D$68,"Blocked")</f>
        <v>0</v>
      </c>
      <c r="F21" s="7" t="n">
        <f aca="false">COUNTIFS('Execution Tracker'!$B$2:$B$68,$A21,'Execution Tracker'!$D$2:$D$68,"Not Executed")</f>
        <v>5</v>
      </c>
    </row>
    <row r="22" customFormat="false" ht="15" hidden="false" customHeight="false" outlineLevel="0" collapsed="false">
      <c r="A22" s="7" t="s">
        <v>34</v>
      </c>
      <c r="B22" s="7" t="n">
        <f aca="false">COUNTIF('Execution Tracker'!$B$2:$B$68,A22)</f>
        <v>4</v>
      </c>
      <c r="C22" s="7" t="n">
        <f aca="false">COUNTIFS('Execution Tracker'!$B$2:$B$68,$A22,'Execution Tracker'!$D$2:$D$68,"Pass")</f>
        <v>0</v>
      </c>
      <c r="D22" s="7" t="n">
        <f aca="false">COUNTIFS('Execution Tracker'!$B$2:$B$68,$A22,'Execution Tracker'!$D$2:$D$68,"Fail")</f>
        <v>0</v>
      </c>
      <c r="E22" s="7" t="n">
        <f aca="false">COUNTIFS('Execution Tracker'!$B$2:$B$68,$A22,'Execution Tracker'!$D$2:$D$68,"Blocked")</f>
        <v>0</v>
      </c>
      <c r="F22" s="7" t="n">
        <f aca="false">COUNTIFS('Execution Tracker'!$B$2:$B$68,$A22,'Execution Tracker'!$D$2:$D$68,"Not Executed")</f>
        <v>4</v>
      </c>
    </row>
    <row r="23" customFormat="false" ht="15" hidden="false" customHeight="false" outlineLevel="0" collapsed="false">
      <c r="A23" s="7" t="s">
        <v>35</v>
      </c>
      <c r="B23" s="7" t="n">
        <f aca="false">COUNTIF('Execution Tracker'!$B$2:$B$68,A23)</f>
        <v>5</v>
      </c>
      <c r="C23" s="7" t="n">
        <f aca="false">COUNTIFS('Execution Tracker'!$B$2:$B$68,$A23,'Execution Tracker'!$D$2:$D$68,"Pass")</f>
        <v>0</v>
      </c>
      <c r="D23" s="7" t="n">
        <f aca="false">COUNTIFS('Execution Tracker'!$B$2:$B$68,$A23,'Execution Tracker'!$D$2:$D$68,"Fail")</f>
        <v>0</v>
      </c>
      <c r="E23" s="7" t="n">
        <f aca="false">COUNTIFS('Execution Tracker'!$B$2:$B$68,$A23,'Execution Tracker'!$D$2:$D$68,"Blocked")</f>
        <v>0</v>
      </c>
      <c r="F23" s="7" t="n">
        <f aca="false">COUNTIFS('Execution Tracker'!$B$2:$B$68,$A23,'Execution Tracker'!$D$2:$D$68,"Not Executed")</f>
        <v>5</v>
      </c>
    </row>
    <row r="24" customFormat="false" ht="15" hidden="false" customHeight="false" outlineLevel="0" collapsed="false">
      <c r="A24" s="7" t="s">
        <v>36</v>
      </c>
      <c r="B24" s="7" t="n">
        <f aca="false">COUNTIF('Execution Tracker'!$B$2:$B$68,A24)</f>
        <v>4</v>
      </c>
      <c r="C24" s="7" t="n">
        <f aca="false">COUNTIFS('Execution Tracker'!$B$2:$B$68,$A24,'Execution Tracker'!$D$2:$D$68,"Pass")</f>
        <v>0</v>
      </c>
      <c r="D24" s="7" t="n">
        <f aca="false">COUNTIFS('Execution Tracker'!$B$2:$B$68,$A24,'Execution Tracker'!$D$2:$D$68,"Fail")</f>
        <v>0</v>
      </c>
      <c r="E24" s="7" t="n">
        <f aca="false">COUNTIFS('Execution Tracker'!$B$2:$B$68,$A24,'Execution Tracker'!$D$2:$D$68,"Blocked")</f>
        <v>0</v>
      </c>
      <c r="F24" s="7" t="n">
        <f aca="false">COUNTIFS('Execution Tracker'!$B$2:$B$68,$A24,'Execution Tracker'!$D$2:$D$68,"Not Executed")</f>
        <v>4</v>
      </c>
    </row>
    <row r="25" customFormat="false" ht="15" hidden="false" customHeight="false" outlineLevel="0" collapsed="false">
      <c r="A25" s="7" t="s">
        <v>37</v>
      </c>
      <c r="B25" s="7" t="n">
        <f aca="false">COUNTIF('Execution Tracker'!$B$2:$B$68,A25)</f>
        <v>5</v>
      </c>
      <c r="C25" s="7" t="n">
        <f aca="false">COUNTIFS('Execution Tracker'!$B$2:$B$68,$A25,'Execution Tracker'!$D$2:$D$68,"Pass")</f>
        <v>0</v>
      </c>
      <c r="D25" s="7" t="n">
        <f aca="false">COUNTIFS('Execution Tracker'!$B$2:$B$68,$A25,'Execution Tracker'!$D$2:$D$68,"Fail")</f>
        <v>0</v>
      </c>
      <c r="E25" s="7" t="n">
        <f aca="false">COUNTIFS('Execution Tracker'!$B$2:$B$68,$A25,'Execution Tracker'!$D$2:$D$68,"Blocked")</f>
        <v>0</v>
      </c>
      <c r="F25" s="7" t="n">
        <f aca="false">COUNTIFS('Execution Tracker'!$B$2:$B$68,$A25,'Execution Tracker'!$D$2:$D$68,"Not Executed")</f>
        <v>5</v>
      </c>
    </row>
    <row r="26" customFormat="false" ht="15" hidden="false" customHeight="false" outlineLevel="0" collapsed="false">
      <c r="A26" s="7" t="s">
        <v>38</v>
      </c>
      <c r="B26" s="7" t="n">
        <f aca="false">COUNTIF('Execution Tracker'!$B$2:$B$68,A26)</f>
        <v>3</v>
      </c>
      <c r="C26" s="7" t="n">
        <f aca="false">COUNTIFS('Execution Tracker'!$B$2:$B$68,$A26,'Execution Tracker'!$D$2:$D$68,"Pass")</f>
        <v>0</v>
      </c>
      <c r="D26" s="7" t="n">
        <f aca="false">COUNTIFS('Execution Tracker'!$B$2:$B$68,$A26,'Execution Tracker'!$D$2:$D$68,"Fail")</f>
        <v>0</v>
      </c>
      <c r="E26" s="7" t="n">
        <f aca="false">COUNTIFS('Execution Tracker'!$B$2:$B$68,$A26,'Execution Tracker'!$D$2:$D$68,"Blocked")</f>
        <v>0</v>
      </c>
      <c r="F26" s="7" t="n">
        <f aca="false">COUNTIFS('Execution Tracker'!$B$2:$B$68,$A26,'Execution Tracker'!$D$2:$D$68,"Not Executed")</f>
        <v>3</v>
      </c>
    </row>
    <row r="27" customFormat="false" ht="15" hidden="false" customHeight="false" outlineLevel="0" collapsed="false">
      <c r="A27" s="7" t="s">
        <v>39</v>
      </c>
      <c r="B27" s="7" t="n">
        <f aca="false">COUNTIF('Execution Tracker'!$B$2:$B$68,A27)</f>
        <v>5</v>
      </c>
      <c r="C27" s="7" t="n">
        <f aca="false">COUNTIFS('Execution Tracker'!$B$2:$B$68,$A27,'Execution Tracker'!$D$2:$D$68,"Pass")</f>
        <v>0</v>
      </c>
      <c r="D27" s="7" t="n">
        <f aca="false">COUNTIFS('Execution Tracker'!$B$2:$B$68,$A27,'Execution Tracker'!$D$2:$D$68,"Fail")</f>
        <v>0</v>
      </c>
      <c r="E27" s="7" t="n">
        <f aca="false">COUNTIFS('Execution Tracker'!$B$2:$B$68,$A27,'Execution Tracker'!$D$2:$D$68,"Blocked")</f>
        <v>0</v>
      </c>
      <c r="F27" s="7" t="n">
        <f aca="false">COUNTIFS('Execution Tracker'!$B$2:$B$68,$A27,'Execution Tracker'!$D$2:$D$68,"Not Executed")</f>
        <v>5</v>
      </c>
    </row>
    <row r="28" customFormat="false" ht="15" hidden="false" customHeight="false" outlineLevel="0" collapsed="false">
      <c r="A28" s="7" t="s">
        <v>40</v>
      </c>
      <c r="B28" s="7" t="n">
        <f aca="false">COUNTIF('Execution Tracker'!$B$2:$B$68,A28)</f>
        <v>4</v>
      </c>
      <c r="C28" s="7" t="n">
        <f aca="false">COUNTIFS('Execution Tracker'!$B$2:$B$68,$A28,'Execution Tracker'!$D$2:$D$68,"Pass")</f>
        <v>0</v>
      </c>
      <c r="D28" s="7" t="n">
        <f aca="false">COUNTIFS('Execution Tracker'!$B$2:$B$68,$A28,'Execution Tracker'!$D$2:$D$68,"Fail")</f>
        <v>0</v>
      </c>
      <c r="E28" s="7" t="n">
        <f aca="false">COUNTIFS('Execution Tracker'!$B$2:$B$68,$A28,'Execution Tracker'!$D$2:$D$68,"Blocked")</f>
        <v>0</v>
      </c>
      <c r="F28" s="7" t="n">
        <f aca="false">COUNTIFS('Execution Tracker'!$B$2:$B$68,$A28,'Execution Tracker'!$D$2:$D$68,"Not Executed")</f>
        <v>4</v>
      </c>
    </row>
    <row r="29" customFormat="false" ht="15" hidden="false" customHeight="false" outlineLevel="0" collapsed="false">
      <c r="A29" s="7" t="s">
        <v>41</v>
      </c>
      <c r="B29" s="7" t="n">
        <f aca="false">COUNTIF('Execution Tracker'!$B$2:$B$68,A29)</f>
        <v>3</v>
      </c>
      <c r="C29" s="7" t="n">
        <f aca="false">COUNTIFS('Execution Tracker'!$B$2:$B$68,$A29,'Execution Tracker'!$D$2:$D$68,"Pass")</f>
        <v>0</v>
      </c>
      <c r="D29" s="7" t="n">
        <f aca="false">COUNTIFS('Execution Tracker'!$B$2:$B$68,$A29,'Execution Tracker'!$D$2:$D$68,"Fail")</f>
        <v>0</v>
      </c>
      <c r="E29" s="7" t="n">
        <f aca="false">COUNTIFS('Execution Tracker'!$B$2:$B$68,$A29,'Execution Tracker'!$D$2:$D$68,"Blocked")</f>
        <v>0</v>
      </c>
      <c r="F29" s="7" t="n">
        <f aca="false">COUNTIFS('Execution Tracker'!$B$2:$B$68,$A29,'Execution Tracker'!$D$2:$D$68,"Not Executed")</f>
        <v>3</v>
      </c>
    </row>
    <row r="31" customFormat="false" ht="15" hidden="false" customHeight="false" outlineLevel="0" collapsed="false">
      <c r="A31" s="6" t="s">
        <v>42</v>
      </c>
    </row>
    <row r="32" customFormat="false" ht="15" hidden="false" customHeight="false" outlineLevel="0" collapsed="false">
      <c r="A32" s="9" t="s">
        <v>43</v>
      </c>
      <c r="B32" s="9" t="s">
        <v>27</v>
      </c>
      <c r="C32" s="9" t="s">
        <v>17</v>
      </c>
      <c r="D32" s="9" t="s">
        <v>18</v>
      </c>
      <c r="E32" s="9" t="s">
        <v>19</v>
      </c>
      <c r="F32" s="9" t="s">
        <v>20</v>
      </c>
    </row>
    <row r="33" customFormat="false" ht="15" hidden="false" customHeight="false" outlineLevel="0" collapsed="false">
      <c r="A33" s="7" t="s">
        <v>44</v>
      </c>
      <c r="B33" s="7" t="n">
        <f aca="false">COUNTIF('Execution Tracker'!$C$2:$C$68,A33)</f>
        <v>49</v>
      </c>
      <c r="C33" s="7" t="n">
        <f aca="false">COUNTIFS('Execution Tracker'!$C$2:$C$68,$A33,'Execution Tracker'!$D$2:$D$68,"Pass")</f>
        <v>0</v>
      </c>
      <c r="D33" s="7" t="n">
        <f aca="false">COUNTIFS('Execution Tracker'!$C$2:$C$68,$A33,'Execution Tracker'!$D$2:$D$68,"Fail")</f>
        <v>0</v>
      </c>
      <c r="E33" s="7" t="n">
        <f aca="false">COUNTIFS('Execution Tracker'!$C$2:$C$68,$A33,'Execution Tracker'!$D$2:$D$68,"Blocked")</f>
        <v>0</v>
      </c>
      <c r="F33" s="7" t="n">
        <f aca="false">COUNTIFS('Execution Tracker'!$C$2:$C$68,$A33,'Execution Tracker'!$D$2:$D$68,"Not Executed")</f>
        <v>49</v>
      </c>
    </row>
    <row r="34" customFormat="false" ht="15" hidden="false" customHeight="false" outlineLevel="0" collapsed="false">
      <c r="A34" s="7" t="s">
        <v>45</v>
      </c>
      <c r="B34" s="7" t="n">
        <f aca="false">COUNTIF('Execution Tracker'!$C$2:$C$68,A34)</f>
        <v>17</v>
      </c>
      <c r="C34" s="7" t="n">
        <f aca="false">COUNTIFS('Execution Tracker'!$C$2:$C$68,$A34,'Execution Tracker'!$D$2:$D$68,"Pass")</f>
        <v>0</v>
      </c>
      <c r="D34" s="7" t="n">
        <f aca="false">COUNTIFS('Execution Tracker'!$C$2:$C$68,$A34,'Execution Tracker'!$D$2:$D$68,"Fail")</f>
        <v>0</v>
      </c>
      <c r="E34" s="7" t="n">
        <f aca="false">COUNTIFS('Execution Tracker'!$C$2:$C$68,$A34,'Execution Tracker'!$D$2:$D$68,"Blocked")</f>
        <v>0</v>
      </c>
      <c r="F34" s="7" t="n">
        <f aca="false">COUNTIFS('Execution Tracker'!$C$2:$C$68,$A34,'Execution Tracker'!$D$2:$D$68,"Not Executed")</f>
        <v>17</v>
      </c>
    </row>
    <row r="35" customFormat="false" ht="15" hidden="false" customHeight="false" outlineLevel="0" collapsed="false">
      <c r="A35" s="7" t="s">
        <v>46</v>
      </c>
      <c r="B35" s="7" t="n">
        <f aca="false">COUNTIF('Execution Tracker'!$C$2:$C$68,A35)</f>
        <v>1</v>
      </c>
      <c r="C35" s="7" t="n">
        <f aca="false">COUNTIFS('Execution Tracker'!$C$2:$C$68,$A35,'Execution Tracker'!$D$2:$D$68,"Pass")</f>
        <v>0</v>
      </c>
      <c r="D35" s="7" t="n">
        <f aca="false">COUNTIFS('Execution Tracker'!$C$2:$C$68,$A35,'Execution Tracker'!$D$2:$D$68,"Fail")</f>
        <v>0</v>
      </c>
      <c r="E35" s="7" t="n">
        <f aca="false">COUNTIFS('Execution Tracker'!$C$2:$C$68,$A35,'Execution Tracker'!$D$2:$D$68,"Blocked")</f>
        <v>0</v>
      </c>
      <c r="F35" s="7" t="n">
        <f aca="false">COUNTIFS('Execution Tracker'!$C$2:$C$68,$A35,'Execution Tracker'!$D$2:$D$68,"Not Executed")</f>
        <v>1</v>
      </c>
    </row>
    <row r="37" customFormat="false" ht="15" hidden="false" customHeight="false" outlineLevel="0" collapsed="false">
      <c r="A37" s="6" t="s">
        <v>47</v>
      </c>
    </row>
    <row r="38" customFormat="false" ht="15" hidden="false" customHeight="false" outlineLevel="0" collapsed="false">
      <c r="A38" s="9" t="s">
        <v>48</v>
      </c>
      <c r="B38" s="9" t="s">
        <v>27</v>
      </c>
      <c r="C38" s="9" t="s">
        <v>49</v>
      </c>
    </row>
    <row r="39" customFormat="false" ht="15" hidden="false" customHeight="false" outlineLevel="0" collapsed="false">
      <c r="A39" s="7" t="s">
        <v>50</v>
      </c>
      <c r="B39" s="7" t="n">
        <f aca="false">COUNTIFS('Defect Tracker'!$B$2:$B$41,"ACTUAL",'Defect Tracker'!$J$2:$J$41,A39)</f>
        <v>0</v>
      </c>
      <c r="C39" s="7" t="n">
        <f aca="false">B39-COUNTIFS('Defect Tracker'!$B$2:$B$41,"ACTUAL",'Defect Tracker'!$J$2:$J$41,A39,'Defect Tracker'!$M$2:$M$41,"Closed")-COUNTIFS('Defect Tracker'!$B$2:$B$41,"ACTUAL",'Defect Tracker'!$J$2:$J$41,A39,'Defect Tracker'!$M$2:$M$41,"Rejected")-COUNTIFS('Defect Tracker'!$B$2:$B$41,"ACTUAL",'Defect Tracker'!$J$2:$J$41,A39,'Defect Tracker'!$M$2:$M$41,"Duplicate")</f>
        <v>0</v>
      </c>
    </row>
    <row r="40" customFormat="false" ht="15" hidden="false" customHeight="false" outlineLevel="0" collapsed="false">
      <c r="A40" s="7" t="s">
        <v>44</v>
      </c>
      <c r="B40" s="7" t="n">
        <f aca="false">COUNTIFS('Defect Tracker'!$B$2:$B$41,"ACTUAL",'Defect Tracker'!$J$2:$J$41,A40)</f>
        <v>0</v>
      </c>
      <c r="C40" s="7" t="n">
        <f aca="false">B40-COUNTIFS('Defect Tracker'!$B$2:$B$41,"ACTUAL",'Defect Tracker'!$J$2:$J$41,A40,'Defect Tracker'!$M$2:$M$41,"Closed")-COUNTIFS('Defect Tracker'!$B$2:$B$41,"ACTUAL",'Defect Tracker'!$J$2:$J$41,A40,'Defect Tracker'!$M$2:$M$41,"Rejected")-COUNTIFS('Defect Tracker'!$B$2:$B$41,"ACTUAL",'Defect Tracker'!$J$2:$J$41,A40,'Defect Tracker'!$M$2:$M$41,"Duplicate")</f>
        <v>0</v>
      </c>
    </row>
    <row r="41" customFormat="false" ht="15" hidden="false" customHeight="false" outlineLevel="0" collapsed="false">
      <c r="A41" s="7" t="s">
        <v>45</v>
      </c>
      <c r="B41" s="7" t="n">
        <f aca="false">COUNTIFS('Defect Tracker'!$B$2:$B$41,"ACTUAL",'Defect Tracker'!$J$2:$J$41,A41)</f>
        <v>0</v>
      </c>
      <c r="C41" s="7" t="n">
        <f aca="false">B41-COUNTIFS('Defect Tracker'!$B$2:$B$41,"ACTUAL",'Defect Tracker'!$J$2:$J$41,A41,'Defect Tracker'!$M$2:$M$41,"Closed")-COUNTIFS('Defect Tracker'!$B$2:$B$41,"ACTUAL",'Defect Tracker'!$J$2:$J$41,A41,'Defect Tracker'!$M$2:$M$41,"Rejected")-COUNTIFS('Defect Tracker'!$B$2:$B$41,"ACTUAL",'Defect Tracker'!$J$2:$J$41,A41,'Defect Tracker'!$M$2:$M$41,"Duplicate")</f>
        <v>0</v>
      </c>
    </row>
    <row r="42" customFormat="false" ht="15" hidden="false" customHeight="false" outlineLevel="0" collapsed="false">
      <c r="A42" s="7" t="s">
        <v>46</v>
      </c>
      <c r="B42" s="7" t="n">
        <f aca="false">COUNTIFS('Defect Tracker'!$B$2:$B$41,"ACTUAL",'Defect Tracker'!$J$2:$J$41,A42)</f>
        <v>0</v>
      </c>
      <c r="C42" s="7" t="n">
        <f aca="false">B42-COUNTIFS('Defect Tracker'!$B$2:$B$41,"ACTUAL",'Defect Tracker'!$J$2:$J$41,A42,'Defect Tracker'!$M$2:$M$41,"Closed")-COUNTIFS('Defect Tracker'!$B$2:$B$41,"ACTUAL",'Defect Tracker'!$J$2:$J$41,A42,'Defect Tracker'!$M$2:$M$41,"Rejected")-COUNTIFS('Defect Tracker'!$B$2:$B$41,"ACTUAL",'Defect Tracker'!$J$2:$J$41,A42,'Defect Tracker'!$M$2:$M$41,"Duplicate")</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6"/>
    <col collapsed="false" customWidth="true" hidden="false" outlineLevel="0" max="3" min="3" style="0" width="10"/>
    <col collapsed="false" customWidth="true" hidden="false" outlineLevel="0" max="4" min="4" style="0" width="15"/>
    <col collapsed="false" customWidth="true" hidden="false" outlineLevel="0" max="6" min="5" style="0" width="16"/>
    <col collapsed="false" customWidth="true" hidden="false" outlineLevel="0" max="7" min="7" style="0" width="50"/>
    <col collapsed="false" customWidth="true" hidden="false" outlineLevel="0" max="8" min="8" style="0" width="12"/>
    <col collapsed="false" customWidth="true" hidden="false" outlineLevel="0" max="9" min="9" style="0" width="30"/>
  </cols>
  <sheetData>
    <row r="1" customFormat="false" ht="15" hidden="false" customHeight="false" outlineLevel="0" collapsed="false">
      <c r="A1" s="10" t="s">
        <v>51</v>
      </c>
      <c r="B1" s="10" t="s">
        <v>26</v>
      </c>
      <c r="C1" s="10" t="s">
        <v>43</v>
      </c>
      <c r="D1" s="10" t="s">
        <v>52</v>
      </c>
      <c r="E1" s="10" t="s">
        <v>53</v>
      </c>
      <c r="F1" s="10" t="s">
        <v>54</v>
      </c>
      <c r="G1" s="10" t="s">
        <v>55</v>
      </c>
      <c r="H1" s="10" t="s">
        <v>56</v>
      </c>
      <c r="I1" s="10" t="s">
        <v>57</v>
      </c>
    </row>
    <row r="2" customFormat="false" ht="15" hidden="false" customHeight="false" outlineLevel="0" collapsed="false">
      <c r="A2" s="11" t="s">
        <v>58</v>
      </c>
      <c r="B2" s="11" t="s">
        <v>28</v>
      </c>
      <c r="C2" s="11" t="s">
        <v>44</v>
      </c>
      <c r="D2" s="12" t="s">
        <v>20</v>
      </c>
      <c r="E2" s="12"/>
      <c r="F2" s="12"/>
      <c r="G2" s="12"/>
      <c r="H2" s="12"/>
      <c r="I2" s="12"/>
    </row>
    <row r="3" customFormat="false" ht="15" hidden="false" customHeight="false" outlineLevel="0" collapsed="false">
      <c r="A3" s="11" t="s">
        <v>59</v>
      </c>
      <c r="B3" s="11" t="s">
        <v>28</v>
      </c>
      <c r="C3" s="11" t="s">
        <v>44</v>
      </c>
      <c r="D3" s="12" t="s">
        <v>20</v>
      </c>
      <c r="E3" s="12"/>
      <c r="F3" s="12"/>
      <c r="G3" s="12"/>
      <c r="H3" s="12"/>
      <c r="I3" s="12"/>
    </row>
    <row r="4" customFormat="false" ht="15" hidden="false" customHeight="false" outlineLevel="0" collapsed="false">
      <c r="A4" s="11" t="s">
        <v>60</v>
      </c>
      <c r="B4" s="11" t="s">
        <v>28</v>
      </c>
      <c r="C4" s="11" t="s">
        <v>45</v>
      </c>
      <c r="D4" s="12" t="s">
        <v>20</v>
      </c>
      <c r="E4" s="12"/>
      <c r="F4" s="12"/>
      <c r="G4" s="12"/>
      <c r="H4" s="12"/>
      <c r="I4" s="12"/>
    </row>
    <row r="5" customFormat="false" ht="15" hidden="false" customHeight="false" outlineLevel="0" collapsed="false">
      <c r="A5" s="11" t="s">
        <v>61</v>
      </c>
      <c r="B5" s="11" t="s">
        <v>28</v>
      </c>
      <c r="C5" s="11" t="s">
        <v>44</v>
      </c>
      <c r="D5" s="12" t="s">
        <v>20</v>
      </c>
      <c r="E5" s="12"/>
      <c r="F5" s="12"/>
      <c r="G5" s="12"/>
      <c r="H5" s="12"/>
      <c r="I5" s="12"/>
    </row>
    <row r="6" customFormat="false" ht="15" hidden="false" customHeight="false" outlineLevel="0" collapsed="false">
      <c r="A6" s="11" t="s">
        <v>62</v>
      </c>
      <c r="B6" s="11" t="s">
        <v>28</v>
      </c>
      <c r="C6" s="11" t="s">
        <v>44</v>
      </c>
      <c r="D6" s="12" t="s">
        <v>20</v>
      </c>
      <c r="E6" s="12"/>
      <c r="F6" s="12"/>
      <c r="G6" s="12"/>
      <c r="H6" s="12"/>
      <c r="I6" s="12"/>
    </row>
    <row r="7" customFormat="false" ht="15" hidden="false" customHeight="false" outlineLevel="0" collapsed="false">
      <c r="A7" s="11" t="s">
        <v>63</v>
      </c>
      <c r="B7" s="11" t="s">
        <v>28</v>
      </c>
      <c r="C7" s="11" t="s">
        <v>44</v>
      </c>
      <c r="D7" s="12" t="s">
        <v>20</v>
      </c>
      <c r="E7" s="12"/>
      <c r="F7" s="12"/>
      <c r="G7" s="12"/>
      <c r="H7" s="12"/>
      <c r="I7" s="12"/>
    </row>
    <row r="8" customFormat="false" ht="15" hidden="false" customHeight="false" outlineLevel="0" collapsed="false">
      <c r="A8" s="11" t="s">
        <v>64</v>
      </c>
      <c r="B8" s="11" t="s">
        <v>28</v>
      </c>
      <c r="C8" s="11" t="s">
        <v>44</v>
      </c>
      <c r="D8" s="12" t="s">
        <v>20</v>
      </c>
      <c r="E8" s="12"/>
      <c r="F8" s="12"/>
      <c r="G8" s="12"/>
      <c r="H8" s="12"/>
      <c r="I8" s="12"/>
    </row>
    <row r="9" customFormat="false" ht="15" hidden="false" customHeight="false" outlineLevel="0" collapsed="false">
      <c r="A9" s="11" t="s">
        <v>65</v>
      </c>
      <c r="B9" s="11" t="s">
        <v>28</v>
      </c>
      <c r="C9" s="11" t="s">
        <v>45</v>
      </c>
      <c r="D9" s="12" t="s">
        <v>20</v>
      </c>
      <c r="E9" s="12"/>
      <c r="F9" s="12"/>
      <c r="G9" s="12"/>
      <c r="H9" s="12"/>
      <c r="I9" s="12"/>
    </row>
    <row r="10" customFormat="false" ht="15" hidden="false" customHeight="false" outlineLevel="0" collapsed="false">
      <c r="A10" s="11" t="s">
        <v>66</v>
      </c>
      <c r="B10" s="11" t="s">
        <v>28</v>
      </c>
      <c r="C10" s="11" t="s">
        <v>44</v>
      </c>
      <c r="D10" s="12" t="s">
        <v>20</v>
      </c>
      <c r="E10" s="12"/>
      <c r="F10" s="12"/>
      <c r="G10" s="12"/>
      <c r="H10" s="12"/>
      <c r="I10" s="12"/>
    </row>
    <row r="11" customFormat="false" ht="15" hidden="false" customHeight="false" outlineLevel="0" collapsed="false">
      <c r="A11" s="11" t="s">
        <v>67</v>
      </c>
      <c r="B11" s="11" t="s">
        <v>29</v>
      </c>
      <c r="C11" s="11" t="s">
        <v>44</v>
      </c>
      <c r="D11" s="12" t="s">
        <v>20</v>
      </c>
      <c r="E11" s="12"/>
      <c r="F11" s="12"/>
      <c r="G11" s="12"/>
      <c r="H11" s="12"/>
      <c r="I11" s="12"/>
    </row>
    <row r="12" customFormat="false" ht="15" hidden="false" customHeight="false" outlineLevel="0" collapsed="false">
      <c r="A12" s="11" t="s">
        <v>68</v>
      </c>
      <c r="B12" s="11" t="s">
        <v>29</v>
      </c>
      <c r="C12" s="11" t="s">
        <v>44</v>
      </c>
      <c r="D12" s="12" t="s">
        <v>20</v>
      </c>
      <c r="E12" s="12"/>
      <c r="F12" s="12"/>
      <c r="G12" s="12"/>
      <c r="H12" s="12"/>
      <c r="I12" s="12"/>
    </row>
    <row r="13" customFormat="false" ht="15" hidden="false" customHeight="false" outlineLevel="0" collapsed="false">
      <c r="A13" s="11" t="s">
        <v>69</v>
      </c>
      <c r="B13" s="11" t="s">
        <v>29</v>
      </c>
      <c r="C13" s="11" t="s">
        <v>45</v>
      </c>
      <c r="D13" s="12" t="s">
        <v>20</v>
      </c>
      <c r="E13" s="12"/>
      <c r="F13" s="12"/>
      <c r="G13" s="12"/>
      <c r="H13" s="12"/>
      <c r="I13" s="12"/>
    </row>
    <row r="14" customFormat="false" ht="15" hidden="false" customHeight="false" outlineLevel="0" collapsed="false">
      <c r="A14" s="11" t="s">
        <v>70</v>
      </c>
      <c r="B14" s="11" t="s">
        <v>29</v>
      </c>
      <c r="C14" s="11" t="s">
        <v>45</v>
      </c>
      <c r="D14" s="12" t="s">
        <v>20</v>
      </c>
      <c r="E14" s="12"/>
      <c r="F14" s="12"/>
      <c r="G14" s="12"/>
      <c r="H14" s="12"/>
      <c r="I14" s="12"/>
    </row>
    <row r="15" customFormat="false" ht="15" hidden="false" customHeight="false" outlineLevel="0" collapsed="false">
      <c r="A15" s="11" t="s">
        <v>71</v>
      </c>
      <c r="B15" s="11" t="s">
        <v>29</v>
      </c>
      <c r="C15" s="11" t="s">
        <v>44</v>
      </c>
      <c r="D15" s="12" t="s">
        <v>20</v>
      </c>
      <c r="E15" s="12"/>
      <c r="F15" s="12"/>
      <c r="G15" s="12"/>
      <c r="H15" s="12"/>
      <c r="I15" s="12"/>
    </row>
    <row r="16" customFormat="false" ht="15" hidden="false" customHeight="false" outlineLevel="0" collapsed="false">
      <c r="A16" s="11" t="s">
        <v>72</v>
      </c>
      <c r="B16" s="11" t="s">
        <v>29</v>
      </c>
      <c r="C16" s="11" t="s">
        <v>44</v>
      </c>
      <c r="D16" s="12" t="s">
        <v>20</v>
      </c>
      <c r="E16" s="12"/>
      <c r="F16" s="12"/>
      <c r="G16" s="12"/>
      <c r="H16" s="12"/>
      <c r="I16" s="12"/>
    </row>
    <row r="17" customFormat="false" ht="15" hidden="false" customHeight="false" outlineLevel="0" collapsed="false">
      <c r="A17" s="11" t="s">
        <v>73</v>
      </c>
      <c r="B17" s="11" t="s">
        <v>29</v>
      </c>
      <c r="C17" s="11" t="s">
        <v>44</v>
      </c>
      <c r="D17" s="12" t="s">
        <v>20</v>
      </c>
      <c r="E17" s="12"/>
      <c r="F17" s="12"/>
      <c r="G17" s="12"/>
      <c r="H17" s="12"/>
      <c r="I17" s="12"/>
    </row>
    <row r="18" customFormat="false" ht="15" hidden="false" customHeight="false" outlineLevel="0" collapsed="false">
      <c r="A18" s="11" t="s">
        <v>74</v>
      </c>
      <c r="B18" s="11" t="s">
        <v>30</v>
      </c>
      <c r="C18" s="11" t="s">
        <v>44</v>
      </c>
      <c r="D18" s="12" t="s">
        <v>20</v>
      </c>
      <c r="E18" s="12"/>
      <c r="F18" s="12"/>
      <c r="G18" s="12"/>
      <c r="H18" s="12"/>
      <c r="I18" s="12"/>
    </row>
    <row r="19" customFormat="false" ht="15" hidden="false" customHeight="false" outlineLevel="0" collapsed="false">
      <c r="A19" s="11" t="s">
        <v>75</v>
      </c>
      <c r="B19" s="11" t="s">
        <v>30</v>
      </c>
      <c r="C19" s="11" t="s">
        <v>45</v>
      </c>
      <c r="D19" s="12" t="s">
        <v>20</v>
      </c>
      <c r="E19" s="12"/>
      <c r="F19" s="12"/>
      <c r="G19" s="12"/>
      <c r="H19" s="12"/>
      <c r="I19" s="12"/>
    </row>
    <row r="20" customFormat="false" ht="15" hidden="false" customHeight="false" outlineLevel="0" collapsed="false">
      <c r="A20" s="11" t="s">
        <v>76</v>
      </c>
      <c r="B20" s="11" t="s">
        <v>30</v>
      </c>
      <c r="C20" s="11" t="s">
        <v>45</v>
      </c>
      <c r="D20" s="12" t="s">
        <v>20</v>
      </c>
      <c r="E20" s="12"/>
      <c r="F20" s="12"/>
      <c r="G20" s="12"/>
      <c r="H20" s="12"/>
      <c r="I20" s="12"/>
    </row>
    <row r="21" customFormat="false" ht="15" hidden="false" customHeight="false" outlineLevel="0" collapsed="false">
      <c r="A21" s="11" t="s">
        <v>77</v>
      </c>
      <c r="B21" s="11" t="s">
        <v>30</v>
      </c>
      <c r="C21" s="11" t="s">
        <v>44</v>
      </c>
      <c r="D21" s="12" t="s">
        <v>20</v>
      </c>
      <c r="E21" s="12"/>
      <c r="F21" s="12"/>
      <c r="G21" s="12"/>
      <c r="H21" s="12"/>
      <c r="I21" s="12"/>
    </row>
    <row r="22" customFormat="false" ht="15" hidden="false" customHeight="false" outlineLevel="0" collapsed="false">
      <c r="A22" s="11" t="s">
        <v>78</v>
      </c>
      <c r="B22" s="11" t="s">
        <v>31</v>
      </c>
      <c r="C22" s="11" t="s">
        <v>44</v>
      </c>
      <c r="D22" s="12" t="s">
        <v>20</v>
      </c>
      <c r="E22" s="12"/>
      <c r="F22" s="12"/>
      <c r="G22" s="12"/>
      <c r="H22" s="12"/>
      <c r="I22" s="12"/>
    </row>
    <row r="23" customFormat="false" ht="15" hidden="false" customHeight="false" outlineLevel="0" collapsed="false">
      <c r="A23" s="11" t="s">
        <v>79</v>
      </c>
      <c r="B23" s="11" t="s">
        <v>31</v>
      </c>
      <c r="C23" s="11" t="s">
        <v>44</v>
      </c>
      <c r="D23" s="12" t="s">
        <v>20</v>
      </c>
      <c r="E23" s="12"/>
      <c r="F23" s="12"/>
      <c r="G23" s="12"/>
      <c r="H23" s="12"/>
      <c r="I23" s="12"/>
    </row>
    <row r="24" customFormat="false" ht="15" hidden="false" customHeight="false" outlineLevel="0" collapsed="false">
      <c r="A24" s="11" t="s">
        <v>80</v>
      </c>
      <c r="B24" s="11" t="s">
        <v>31</v>
      </c>
      <c r="C24" s="11" t="s">
        <v>44</v>
      </c>
      <c r="D24" s="12" t="s">
        <v>20</v>
      </c>
      <c r="E24" s="12"/>
      <c r="F24" s="12"/>
      <c r="G24" s="12"/>
      <c r="H24" s="12"/>
      <c r="I24" s="12"/>
    </row>
    <row r="25" customFormat="false" ht="15" hidden="false" customHeight="false" outlineLevel="0" collapsed="false">
      <c r="A25" s="11" t="s">
        <v>81</v>
      </c>
      <c r="B25" s="11" t="s">
        <v>31</v>
      </c>
      <c r="C25" s="11" t="s">
        <v>45</v>
      </c>
      <c r="D25" s="12" t="s">
        <v>20</v>
      </c>
      <c r="E25" s="12"/>
      <c r="F25" s="12"/>
      <c r="G25" s="12"/>
      <c r="H25" s="12"/>
      <c r="I25" s="12"/>
    </row>
    <row r="26" customFormat="false" ht="15" hidden="false" customHeight="false" outlineLevel="0" collapsed="false">
      <c r="A26" s="11" t="s">
        <v>82</v>
      </c>
      <c r="B26" s="11" t="s">
        <v>32</v>
      </c>
      <c r="C26" s="11" t="s">
        <v>44</v>
      </c>
      <c r="D26" s="12" t="s">
        <v>20</v>
      </c>
      <c r="E26" s="12"/>
      <c r="F26" s="12"/>
      <c r="G26" s="12"/>
      <c r="H26" s="12"/>
      <c r="I26" s="12"/>
    </row>
    <row r="27" customFormat="false" ht="15" hidden="false" customHeight="false" outlineLevel="0" collapsed="false">
      <c r="A27" s="11" t="s">
        <v>83</v>
      </c>
      <c r="B27" s="11" t="s">
        <v>32</v>
      </c>
      <c r="C27" s="11" t="s">
        <v>44</v>
      </c>
      <c r="D27" s="12" t="s">
        <v>20</v>
      </c>
      <c r="E27" s="12"/>
      <c r="F27" s="12"/>
      <c r="G27" s="12"/>
      <c r="H27" s="12"/>
      <c r="I27" s="12"/>
    </row>
    <row r="28" customFormat="false" ht="15" hidden="false" customHeight="false" outlineLevel="0" collapsed="false">
      <c r="A28" s="11" t="s">
        <v>84</v>
      </c>
      <c r="B28" s="11" t="s">
        <v>32</v>
      </c>
      <c r="C28" s="11" t="s">
        <v>44</v>
      </c>
      <c r="D28" s="12" t="s">
        <v>20</v>
      </c>
      <c r="E28" s="12"/>
      <c r="F28" s="12"/>
      <c r="G28" s="12"/>
      <c r="H28" s="12"/>
      <c r="I28" s="12"/>
    </row>
    <row r="29" customFormat="false" ht="15" hidden="false" customHeight="false" outlineLevel="0" collapsed="false">
      <c r="A29" s="11" t="s">
        <v>85</v>
      </c>
      <c r="B29" s="11" t="s">
        <v>32</v>
      </c>
      <c r="C29" s="11" t="s">
        <v>45</v>
      </c>
      <c r="D29" s="12" t="s">
        <v>20</v>
      </c>
      <c r="E29" s="12"/>
      <c r="F29" s="12"/>
      <c r="G29" s="12"/>
      <c r="H29" s="12"/>
      <c r="I29" s="12"/>
    </row>
    <row r="30" customFormat="false" ht="15" hidden="false" customHeight="false" outlineLevel="0" collapsed="false">
      <c r="A30" s="11" t="s">
        <v>86</v>
      </c>
      <c r="B30" s="11" t="s">
        <v>32</v>
      </c>
      <c r="C30" s="11" t="s">
        <v>45</v>
      </c>
      <c r="D30" s="12" t="s">
        <v>20</v>
      </c>
      <c r="E30" s="12"/>
      <c r="F30" s="12"/>
      <c r="G30" s="12"/>
      <c r="H30" s="12"/>
      <c r="I30" s="12"/>
    </row>
    <row r="31" customFormat="false" ht="15" hidden="false" customHeight="false" outlineLevel="0" collapsed="false">
      <c r="A31" s="11" t="s">
        <v>87</v>
      </c>
      <c r="B31" s="11" t="s">
        <v>33</v>
      </c>
      <c r="C31" s="11" t="s">
        <v>44</v>
      </c>
      <c r="D31" s="12" t="s">
        <v>20</v>
      </c>
      <c r="E31" s="12"/>
      <c r="F31" s="12"/>
      <c r="G31" s="12"/>
      <c r="H31" s="12"/>
      <c r="I31" s="12"/>
    </row>
    <row r="32" customFormat="false" ht="15" hidden="false" customHeight="false" outlineLevel="0" collapsed="false">
      <c r="A32" s="11" t="s">
        <v>88</v>
      </c>
      <c r="B32" s="11" t="s">
        <v>33</v>
      </c>
      <c r="C32" s="11" t="s">
        <v>44</v>
      </c>
      <c r="D32" s="12" t="s">
        <v>20</v>
      </c>
      <c r="E32" s="12"/>
      <c r="F32" s="12"/>
      <c r="G32" s="12"/>
      <c r="H32" s="12"/>
      <c r="I32" s="12"/>
    </row>
    <row r="33" customFormat="false" ht="15" hidden="false" customHeight="false" outlineLevel="0" collapsed="false">
      <c r="A33" s="11" t="s">
        <v>89</v>
      </c>
      <c r="B33" s="11" t="s">
        <v>33</v>
      </c>
      <c r="C33" s="11" t="s">
        <v>44</v>
      </c>
      <c r="D33" s="12" t="s">
        <v>20</v>
      </c>
      <c r="E33" s="12"/>
      <c r="F33" s="12"/>
      <c r="G33" s="12"/>
      <c r="H33" s="12"/>
      <c r="I33" s="12"/>
    </row>
    <row r="34" customFormat="false" ht="15" hidden="false" customHeight="false" outlineLevel="0" collapsed="false">
      <c r="A34" s="11" t="s">
        <v>90</v>
      </c>
      <c r="B34" s="11" t="s">
        <v>33</v>
      </c>
      <c r="C34" s="11" t="s">
        <v>44</v>
      </c>
      <c r="D34" s="12" t="s">
        <v>20</v>
      </c>
      <c r="E34" s="12"/>
      <c r="F34" s="12"/>
      <c r="G34" s="12"/>
      <c r="H34" s="12"/>
      <c r="I34" s="12"/>
    </row>
    <row r="35" customFormat="false" ht="15" hidden="false" customHeight="false" outlineLevel="0" collapsed="false">
      <c r="A35" s="11" t="s">
        <v>91</v>
      </c>
      <c r="B35" s="11" t="s">
        <v>33</v>
      </c>
      <c r="C35" s="11" t="s">
        <v>45</v>
      </c>
      <c r="D35" s="12" t="s">
        <v>20</v>
      </c>
      <c r="E35" s="12"/>
      <c r="F35" s="12"/>
      <c r="G35" s="12"/>
      <c r="H35" s="12"/>
      <c r="I35" s="12"/>
    </row>
    <row r="36" customFormat="false" ht="15" hidden="false" customHeight="false" outlineLevel="0" collapsed="false">
      <c r="A36" s="11" t="s">
        <v>92</v>
      </c>
      <c r="B36" s="11" t="s">
        <v>34</v>
      </c>
      <c r="C36" s="11" t="s">
        <v>44</v>
      </c>
      <c r="D36" s="12" t="s">
        <v>20</v>
      </c>
      <c r="E36" s="12"/>
      <c r="F36" s="12"/>
      <c r="G36" s="12"/>
      <c r="H36" s="12"/>
      <c r="I36" s="12"/>
    </row>
    <row r="37" customFormat="false" ht="15" hidden="false" customHeight="false" outlineLevel="0" collapsed="false">
      <c r="A37" s="11" t="s">
        <v>93</v>
      </c>
      <c r="B37" s="11" t="s">
        <v>34</v>
      </c>
      <c r="C37" s="11" t="s">
        <v>44</v>
      </c>
      <c r="D37" s="12" t="s">
        <v>20</v>
      </c>
      <c r="E37" s="12"/>
      <c r="F37" s="12"/>
      <c r="G37" s="12"/>
      <c r="H37" s="12"/>
      <c r="I37" s="12"/>
    </row>
    <row r="38" customFormat="false" ht="15" hidden="false" customHeight="false" outlineLevel="0" collapsed="false">
      <c r="A38" s="11" t="s">
        <v>94</v>
      </c>
      <c r="B38" s="11" t="s">
        <v>34</v>
      </c>
      <c r="C38" s="11" t="s">
        <v>44</v>
      </c>
      <c r="D38" s="12" t="s">
        <v>20</v>
      </c>
      <c r="E38" s="12"/>
      <c r="F38" s="12"/>
      <c r="G38" s="12"/>
      <c r="H38" s="12"/>
      <c r="I38" s="12"/>
    </row>
    <row r="39" customFormat="false" ht="15" hidden="false" customHeight="false" outlineLevel="0" collapsed="false">
      <c r="A39" s="11" t="s">
        <v>95</v>
      </c>
      <c r="B39" s="11" t="s">
        <v>34</v>
      </c>
      <c r="C39" s="11" t="s">
        <v>45</v>
      </c>
      <c r="D39" s="12" t="s">
        <v>20</v>
      </c>
      <c r="E39" s="12"/>
      <c r="F39" s="12"/>
      <c r="G39" s="12"/>
      <c r="H39" s="12"/>
      <c r="I39" s="12"/>
    </row>
    <row r="40" customFormat="false" ht="15" hidden="false" customHeight="false" outlineLevel="0" collapsed="false">
      <c r="A40" s="11" t="s">
        <v>96</v>
      </c>
      <c r="B40" s="11" t="s">
        <v>35</v>
      </c>
      <c r="C40" s="11" t="s">
        <v>44</v>
      </c>
      <c r="D40" s="12" t="s">
        <v>20</v>
      </c>
      <c r="E40" s="12"/>
      <c r="F40" s="12"/>
      <c r="G40" s="12"/>
      <c r="H40" s="12"/>
      <c r="I40" s="12"/>
    </row>
    <row r="41" customFormat="false" ht="15" hidden="false" customHeight="false" outlineLevel="0" collapsed="false">
      <c r="A41" s="11" t="s">
        <v>97</v>
      </c>
      <c r="B41" s="11" t="s">
        <v>35</v>
      </c>
      <c r="C41" s="11" t="s">
        <v>44</v>
      </c>
      <c r="D41" s="12" t="s">
        <v>20</v>
      </c>
      <c r="E41" s="12"/>
      <c r="F41" s="12"/>
      <c r="G41" s="12"/>
      <c r="H41" s="12"/>
      <c r="I41" s="12"/>
    </row>
    <row r="42" customFormat="false" ht="15" hidden="false" customHeight="false" outlineLevel="0" collapsed="false">
      <c r="A42" s="11" t="s">
        <v>98</v>
      </c>
      <c r="B42" s="11" t="s">
        <v>35</v>
      </c>
      <c r="C42" s="11" t="s">
        <v>44</v>
      </c>
      <c r="D42" s="12" t="s">
        <v>20</v>
      </c>
      <c r="E42" s="12"/>
      <c r="F42" s="12"/>
      <c r="G42" s="12"/>
      <c r="H42" s="12"/>
      <c r="I42" s="12"/>
    </row>
    <row r="43" customFormat="false" ht="15" hidden="false" customHeight="false" outlineLevel="0" collapsed="false">
      <c r="A43" s="11" t="s">
        <v>99</v>
      </c>
      <c r="B43" s="11" t="s">
        <v>35</v>
      </c>
      <c r="C43" s="11" t="s">
        <v>45</v>
      </c>
      <c r="D43" s="12" t="s">
        <v>20</v>
      </c>
      <c r="E43" s="12"/>
      <c r="F43" s="12"/>
      <c r="G43" s="12"/>
      <c r="H43" s="12"/>
      <c r="I43" s="12"/>
    </row>
    <row r="44" customFormat="false" ht="15" hidden="false" customHeight="false" outlineLevel="0" collapsed="false">
      <c r="A44" s="11" t="s">
        <v>100</v>
      </c>
      <c r="B44" s="11" t="s">
        <v>35</v>
      </c>
      <c r="C44" s="11" t="s">
        <v>44</v>
      </c>
      <c r="D44" s="12" t="s">
        <v>20</v>
      </c>
      <c r="E44" s="12"/>
      <c r="F44" s="12"/>
      <c r="G44" s="12"/>
      <c r="H44" s="12"/>
      <c r="I44" s="12"/>
    </row>
    <row r="45" customFormat="false" ht="15" hidden="false" customHeight="false" outlineLevel="0" collapsed="false">
      <c r="A45" s="11" t="s">
        <v>101</v>
      </c>
      <c r="B45" s="11" t="s">
        <v>36</v>
      </c>
      <c r="C45" s="11" t="s">
        <v>44</v>
      </c>
      <c r="D45" s="12" t="s">
        <v>20</v>
      </c>
      <c r="E45" s="12"/>
      <c r="F45" s="12"/>
      <c r="G45" s="12"/>
      <c r="H45" s="12"/>
      <c r="I45" s="12"/>
    </row>
    <row r="46" customFormat="false" ht="15" hidden="false" customHeight="false" outlineLevel="0" collapsed="false">
      <c r="A46" s="11" t="s">
        <v>102</v>
      </c>
      <c r="B46" s="11" t="s">
        <v>36</v>
      </c>
      <c r="C46" s="11" t="s">
        <v>44</v>
      </c>
      <c r="D46" s="12" t="s">
        <v>20</v>
      </c>
      <c r="E46" s="12"/>
      <c r="F46" s="12"/>
      <c r="G46" s="12"/>
      <c r="H46" s="12"/>
      <c r="I46" s="12"/>
    </row>
    <row r="47" customFormat="false" ht="15" hidden="false" customHeight="false" outlineLevel="0" collapsed="false">
      <c r="A47" s="11" t="s">
        <v>103</v>
      </c>
      <c r="B47" s="11" t="s">
        <v>36</v>
      </c>
      <c r="C47" s="11" t="s">
        <v>45</v>
      </c>
      <c r="D47" s="12" t="s">
        <v>20</v>
      </c>
      <c r="E47" s="12"/>
      <c r="F47" s="12"/>
      <c r="G47" s="12"/>
      <c r="H47" s="12"/>
      <c r="I47" s="12"/>
    </row>
    <row r="48" customFormat="false" ht="15" hidden="false" customHeight="false" outlineLevel="0" collapsed="false">
      <c r="A48" s="11" t="s">
        <v>104</v>
      </c>
      <c r="B48" s="11" t="s">
        <v>36</v>
      </c>
      <c r="C48" s="11" t="s">
        <v>44</v>
      </c>
      <c r="D48" s="12" t="s">
        <v>20</v>
      </c>
      <c r="E48" s="12"/>
      <c r="F48" s="12"/>
      <c r="G48" s="12"/>
      <c r="H48" s="12"/>
      <c r="I48" s="12"/>
    </row>
    <row r="49" customFormat="false" ht="15" hidden="false" customHeight="false" outlineLevel="0" collapsed="false">
      <c r="A49" s="11" t="s">
        <v>105</v>
      </c>
      <c r="B49" s="11" t="s">
        <v>37</v>
      </c>
      <c r="C49" s="11" t="s">
        <v>44</v>
      </c>
      <c r="D49" s="12" t="s">
        <v>20</v>
      </c>
      <c r="E49" s="12"/>
      <c r="F49" s="12"/>
      <c r="G49" s="12"/>
      <c r="H49" s="12"/>
      <c r="I49" s="12"/>
    </row>
    <row r="50" customFormat="false" ht="15" hidden="false" customHeight="false" outlineLevel="0" collapsed="false">
      <c r="A50" s="11" t="s">
        <v>106</v>
      </c>
      <c r="B50" s="11" t="s">
        <v>37</v>
      </c>
      <c r="C50" s="11" t="s">
        <v>44</v>
      </c>
      <c r="D50" s="12" t="s">
        <v>20</v>
      </c>
      <c r="E50" s="12"/>
      <c r="F50" s="12"/>
      <c r="G50" s="12"/>
      <c r="H50" s="12"/>
      <c r="I50" s="12"/>
    </row>
    <row r="51" customFormat="false" ht="15" hidden="false" customHeight="false" outlineLevel="0" collapsed="false">
      <c r="A51" s="11" t="s">
        <v>107</v>
      </c>
      <c r="B51" s="11" t="s">
        <v>37</v>
      </c>
      <c r="C51" s="11" t="s">
        <v>45</v>
      </c>
      <c r="D51" s="12" t="s">
        <v>20</v>
      </c>
      <c r="E51" s="12"/>
      <c r="F51" s="12"/>
      <c r="G51" s="12"/>
      <c r="H51" s="12"/>
      <c r="I51" s="12"/>
    </row>
    <row r="52" customFormat="false" ht="15" hidden="false" customHeight="false" outlineLevel="0" collapsed="false">
      <c r="A52" s="11" t="s">
        <v>108</v>
      </c>
      <c r="B52" s="11" t="s">
        <v>37</v>
      </c>
      <c r="C52" s="11" t="s">
        <v>45</v>
      </c>
      <c r="D52" s="12" t="s">
        <v>20</v>
      </c>
      <c r="E52" s="12"/>
      <c r="F52" s="12"/>
      <c r="G52" s="12"/>
      <c r="H52" s="12"/>
      <c r="I52" s="12"/>
    </row>
    <row r="53" customFormat="false" ht="15" hidden="false" customHeight="false" outlineLevel="0" collapsed="false">
      <c r="A53" s="11" t="s">
        <v>109</v>
      </c>
      <c r="B53" s="11" t="s">
        <v>37</v>
      </c>
      <c r="C53" s="11" t="s">
        <v>45</v>
      </c>
      <c r="D53" s="12" t="s">
        <v>20</v>
      </c>
      <c r="E53" s="12"/>
      <c r="F53" s="12"/>
      <c r="G53" s="12"/>
      <c r="H53" s="12"/>
      <c r="I53" s="12"/>
    </row>
    <row r="54" customFormat="false" ht="15" hidden="false" customHeight="false" outlineLevel="0" collapsed="false">
      <c r="A54" s="11" t="s">
        <v>110</v>
      </c>
      <c r="B54" s="11" t="s">
        <v>38</v>
      </c>
      <c r="C54" s="11" t="s">
        <v>44</v>
      </c>
      <c r="D54" s="12" t="s">
        <v>20</v>
      </c>
      <c r="E54" s="12"/>
      <c r="F54" s="12"/>
      <c r="G54" s="12"/>
      <c r="H54" s="12"/>
      <c r="I54" s="12"/>
    </row>
    <row r="55" customFormat="false" ht="15" hidden="false" customHeight="false" outlineLevel="0" collapsed="false">
      <c r="A55" s="11" t="s">
        <v>111</v>
      </c>
      <c r="B55" s="11" t="s">
        <v>38</v>
      </c>
      <c r="C55" s="11" t="s">
        <v>44</v>
      </c>
      <c r="D55" s="12" t="s">
        <v>20</v>
      </c>
      <c r="E55" s="12"/>
      <c r="F55" s="12"/>
      <c r="G55" s="12"/>
      <c r="H55" s="12"/>
      <c r="I55" s="12"/>
    </row>
    <row r="56" customFormat="false" ht="15" hidden="false" customHeight="false" outlineLevel="0" collapsed="false">
      <c r="A56" s="11" t="s">
        <v>112</v>
      </c>
      <c r="B56" s="11" t="s">
        <v>38</v>
      </c>
      <c r="C56" s="11" t="s">
        <v>44</v>
      </c>
      <c r="D56" s="12" t="s">
        <v>20</v>
      </c>
      <c r="E56" s="12"/>
      <c r="F56" s="12"/>
      <c r="G56" s="12"/>
      <c r="H56" s="12"/>
      <c r="I56" s="12"/>
    </row>
    <row r="57" customFormat="false" ht="15" hidden="false" customHeight="false" outlineLevel="0" collapsed="false">
      <c r="A57" s="11" t="s">
        <v>113</v>
      </c>
      <c r="B57" s="11" t="s">
        <v>39</v>
      </c>
      <c r="C57" s="11" t="s">
        <v>44</v>
      </c>
      <c r="D57" s="12" t="s">
        <v>20</v>
      </c>
      <c r="E57" s="12"/>
      <c r="F57" s="12"/>
      <c r="G57" s="12"/>
      <c r="H57" s="12"/>
      <c r="I57" s="12"/>
    </row>
    <row r="58" customFormat="false" ht="15" hidden="false" customHeight="false" outlineLevel="0" collapsed="false">
      <c r="A58" s="11" t="s">
        <v>114</v>
      </c>
      <c r="B58" s="11" t="s">
        <v>39</v>
      </c>
      <c r="C58" s="11" t="s">
        <v>44</v>
      </c>
      <c r="D58" s="12" t="s">
        <v>20</v>
      </c>
      <c r="E58" s="12"/>
      <c r="F58" s="12"/>
      <c r="G58" s="12"/>
      <c r="H58" s="12"/>
      <c r="I58" s="12"/>
    </row>
    <row r="59" customFormat="false" ht="15" hidden="false" customHeight="false" outlineLevel="0" collapsed="false">
      <c r="A59" s="11" t="s">
        <v>115</v>
      </c>
      <c r="B59" s="11" t="s">
        <v>39</v>
      </c>
      <c r="C59" s="11" t="s">
        <v>44</v>
      </c>
      <c r="D59" s="12" t="s">
        <v>20</v>
      </c>
      <c r="E59" s="12"/>
      <c r="F59" s="12"/>
      <c r="G59" s="12"/>
      <c r="H59" s="12"/>
      <c r="I59" s="12"/>
    </row>
    <row r="60" customFormat="false" ht="15" hidden="false" customHeight="false" outlineLevel="0" collapsed="false">
      <c r="A60" s="11" t="s">
        <v>116</v>
      </c>
      <c r="B60" s="11" t="s">
        <v>39</v>
      </c>
      <c r="C60" s="11" t="s">
        <v>44</v>
      </c>
      <c r="D60" s="12" t="s">
        <v>20</v>
      </c>
      <c r="E60" s="12"/>
      <c r="F60" s="12"/>
      <c r="G60" s="12"/>
      <c r="H60" s="12"/>
      <c r="I60" s="12"/>
    </row>
    <row r="61" customFormat="false" ht="15" hidden="false" customHeight="false" outlineLevel="0" collapsed="false">
      <c r="A61" s="11" t="s">
        <v>117</v>
      </c>
      <c r="B61" s="11" t="s">
        <v>39</v>
      </c>
      <c r="C61" s="11" t="s">
        <v>46</v>
      </c>
      <c r="D61" s="12" t="s">
        <v>20</v>
      </c>
      <c r="E61" s="12"/>
      <c r="F61" s="12"/>
      <c r="G61" s="12"/>
      <c r="H61" s="12"/>
      <c r="I61" s="12"/>
    </row>
    <row r="62" customFormat="false" ht="15" hidden="false" customHeight="false" outlineLevel="0" collapsed="false">
      <c r="A62" s="11" t="s">
        <v>118</v>
      </c>
      <c r="B62" s="11" t="s">
        <v>40</v>
      </c>
      <c r="C62" s="11" t="s">
        <v>44</v>
      </c>
      <c r="D62" s="12" t="s">
        <v>20</v>
      </c>
      <c r="E62" s="12"/>
      <c r="F62" s="12"/>
      <c r="G62" s="12"/>
      <c r="H62" s="12"/>
      <c r="I62" s="12"/>
    </row>
    <row r="63" customFormat="false" ht="15" hidden="false" customHeight="false" outlineLevel="0" collapsed="false">
      <c r="A63" s="11" t="s">
        <v>119</v>
      </c>
      <c r="B63" s="11" t="s">
        <v>40</v>
      </c>
      <c r="C63" s="11" t="s">
        <v>44</v>
      </c>
      <c r="D63" s="12" t="s">
        <v>20</v>
      </c>
      <c r="E63" s="12"/>
      <c r="F63" s="12"/>
      <c r="G63" s="12"/>
      <c r="H63" s="12"/>
      <c r="I63" s="12"/>
    </row>
    <row r="64" customFormat="false" ht="15" hidden="false" customHeight="false" outlineLevel="0" collapsed="false">
      <c r="A64" s="11" t="s">
        <v>120</v>
      </c>
      <c r="B64" s="11" t="s">
        <v>40</v>
      </c>
      <c r="C64" s="11" t="s">
        <v>44</v>
      </c>
      <c r="D64" s="12" t="s">
        <v>20</v>
      </c>
      <c r="E64" s="12"/>
      <c r="F64" s="12"/>
      <c r="G64" s="12"/>
      <c r="H64" s="12"/>
      <c r="I64" s="12"/>
    </row>
    <row r="65" customFormat="false" ht="15" hidden="false" customHeight="false" outlineLevel="0" collapsed="false">
      <c r="A65" s="11" t="s">
        <v>121</v>
      </c>
      <c r="B65" s="11" t="s">
        <v>40</v>
      </c>
      <c r="C65" s="11" t="s">
        <v>45</v>
      </c>
      <c r="D65" s="12" t="s">
        <v>20</v>
      </c>
      <c r="E65" s="12"/>
      <c r="F65" s="12"/>
      <c r="G65" s="12"/>
      <c r="H65" s="12"/>
      <c r="I65" s="12"/>
    </row>
    <row r="66" customFormat="false" ht="15" hidden="false" customHeight="false" outlineLevel="0" collapsed="false">
      <c r="A66" s="11" t="s">
        <v>122</v>
      </c>
      <c r="B66" s="11" t="s">
        <v>41</v>
      </c>
      <c r="C66" s="11" t="s">
        <v>44</v>
      </c>
      <c r="D66" s="12" t="s">
        <v>20</v>
      </c>
      <c r="E66" s="12"/>
      <c r="F66" s="12"/>
      <c r="G66" s="12"/>
      <c r="H66" s="12"/>
      <c r="I66" s="12"/>
    </row>
    <row r="67" customFormat="false" ht="15" hidden="false" customHeight="false" outlineLevel="0" collapsed="false">
      <c r="A67" s="11" t="s">
        <v>123</v>
      </c>
      <c r="B67" s="11" t="s">
        <v>41</v>
      </c>
      <c r="C67" s="11" t="s">
        <v>44</v>
      </c>
      <c r="D67" s="12" t="s">
        <v>20</v>
      </c>
      <c r="E67" s="12"/>
      <c r="F67" s="12"/>
      <c r="G67" s="12"/>
      <c r="H67" s="12"/>
      <c r="I67" s="12"/>
    </row>
    <row r="68" customFormat="false" ht="15" hidden="false" customHeight="false" outlineLevel="0" collapsed="false">
      <c r="A68" s="11" t="s">
        <v>124</v>
      </c>
      <c r="B68" s="11" t="s">
        <v>41</v>
      </c>
      <c r="C68" s="11" t="s">
        <v>44</v>
      </c>
      <c r="D68" s="12" t="s">
        <v>20</v>
      </c>
      <c r="E68" s="12"/>
      <c r="F68" s="12"/>
      <c r="G68" s="12"/>
      <c r="H68" s="12"/>
      <c r="I68" s="12"/>
    </row>
  </sheetData>
  <autoFilter ref="A1:I68"/>
  <conditionalFormatting sqref="D2:D68">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false" errorStyle="stop" operator="between" showDropDown="false" showErrorMessage="false" showInputMessage="false" sqref="D2:D68" type="list">
      <formula1>"Not Executed,Pass,Fail,Blocked"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4"/>
    <col collapsed="false" customWidth="true" hidden="false" outlineLevel="0" max="3" min="3" style="0" width="34"/>
    <col collapsed="false" customWidth="true" hidden="false" outlineLevel="0" max="4" min="4" style="0" width="32"/>
    <col collapsed="false" customWidth="true" hidden="false" outlineLevel="0" max="5" min="5" style="0" width="38"/>
    <col collapsed="false" customWidth="true" hidden="false" outlineLevel="0" max="6" min="6" style="0" width="46"/>
    <col collapsed="false" customWidth="true" hidden="false" outlineLevel="0" max="7" min="7" style="0" width="48"/>
    <col collapsed="false" customWidth="true" hidden="false" outlineLevel="0" max="8" min="8" style="0" width="28"/>
    <col collapsed="false" customWidth="true" hidden="false" outlineLevel="0" max="9" min="9" style="0" width="15"/>
    <col collapsed="false" customWidth="true" hidden="false" outlineLevel="0" max="10" min="10" style="0" width="10"/>
    <col collapsed="false" customWidth="true" hidden="false" outlineLevel="0" max="11" min="11" style="0" width="13"/>
  </cols>
  <sheetData>
    <row r="1" customFormat="false" ht="15" hidden="false" customHeight="false" outlineLevel="0" collapsed="false">
      <c r="A1" s="10" t="s">
        <v>51</v>
      </c>
      <c r="B1" s="10" t="s">
        <v>26</v>
      </c>
      <c r="C1" s="10" t="s">
        <v>125</v>
      </c>
      <c r="D1" s="10" t="s">
        <v>126</v>
      </c>
      <c r="E1" s="10" t="s">
        <v>127</v>
      </c>
      <c r="F1" s="10" t="s">
        <v>128</v>
      </c>
      <c r="G1" s="10" t="s">
        <v>129</v>
      </c>
      <c r="H1" s="10" t="s">
        <v>130</v>
      </c>
      <c r="I1" s="10" t="s">
        <v>52</v>
      </c>
      <c r="J1" s="10" t="s">
        <v>43</v>
      </c>
      <c r="K1" s="10" t="s">
        <v>131</v>
      </c>
    </row>
    <row r="2" customFormat="false" ht="46.25" hidden="false" customHeight="false" outlineLevel="0" collapsed="false">
      <c r="A2" s="11" t="s">
        <v>58</v>
      </c>
      <c r="B2" s="11" t="s">
        <v>28</v>
      </c>
      <c r="C2" s="11" t="s">
        <v>132</v>
      </c>
      <c r="D2" s="11" t="s">
        <v>133</v>
      </c>
      <c r="E2" s="11" t="s">
        <v>134</v>
      </c>
      <c r="F2" s="11" t="s">
        <v>135</v>
      </c>
      <c r="G2" s="11" t="s">
        <v>136</v>
      </c>
      <c r="H2" s="11" t="str">
        <f aca="false">IF('Execution Tracker'!G2="","",'Execution Tracker'!G2)</f>
        <v/>
      </c>
      <c r="I2" s="11" t="str">
        <f aca="false">'Execution Tracker'!D2</f>
        <v>Not Executed</v>
      </c>
      <c r="J2" s="11" t="s">
        <v>44</v>
      </c>
      <c r="K2" s="11" t="s">
        <v>137</v>
      </c>
    </row>
    <row r="3" customFormat="false" ht="35.05" hidden="false" customHeight="false" outlineLevel="0" collapsed="false">
      <c r="A3" s="11" t="s">
        <v>59</v>
      </c>
      <c r="B3" s="11" t="s">
        <v>28</v>
      </c>
      <c r="C3" s="11" t="s">
        <v>138</v>
      </c>
      <c r="D3" s="11" t="s">
        <v>139</v>
      </c>
      <c r="E3" s="11" t="s">
        <v>140</v>
      </c>
      <c r="F3" s="11" t="s">
        <v>141</v>
      </c>
      <c r="G3" s="11" t="s">
        <v>142</v>
      </c>
      <c r="H3" s="11" t="str">
        <f aca="false">IF('Execution Tracker'!G3="","",'Execution Tracker'!G3)</f>
        <v/>
      </c>
      <c r="I3" s="11" t="str">
        <f aca="false">'Execution Tracker'!D3</f>
        <v>Not Executed</v>
      </c>
      <c r="J3" s="11" t="s">
        <v>44</v>
      </c>
      <c r="K3" s="11" t="s">
        <v>143</v>
      </c>
    </row>
    <row r="4" customFormat="false" ht="35.05" hidden="false" customHeight="false" outlineLevel="0" collapsed="false">
      <c r="A4" s="11" t="s">
        <v>60</v>
      </c>
      <c r="B4" s="11" t="s">
        <v>28</v>
      </c>
      <c r="C4" s="11" t="s">
        <v>144</v>
      </c>
      <c r="D4" s="11" t="s">
        <v>145</v>
      </c>
      <c r="E4" s="11" t="s">
        <v>146</v>
      </c>
      <c r="F4" s="11" t="s">
        <v>147</v>
      </c>
      <c r="G4" s="11" t="s">
        <v>148</v>
      </c>
      <c r="H4" s="11" t="str">
        <f aca="false">IF('Execution Tracker'!G4="","",'Execution Tracker'!G4)</f>
        <v/>
      </c>
      <c r="I4" s="11" t="str">
        <f aca="false">'Execution Tracker'!D4</f>
        <v>Not Executed</v>
      </c>
      <c r="J4" s="11" t="s">
        <v>45</v>
      </c>
      <c r="K4" s="11" t="s">
        <v>143</v>
      </c>
    </row>
    <row r="5" customFormat="false" ht="35.05" hidden="false" customHeight="false" outlineLevel="0" collapsed="false">
      <c r="A5" s="11" t="s">
        <v>61</v>
      </c>
      <c r="B5" s="11" t="s">
        <v>28</v>
      </c>
      <c r="C5" s="11" t="s">
        <v>149</v>
      </c>
      <c r="D5" s="11" t="s">
        <v>150</v>
      </c>
      <c r="E5" s="11" t="s">
        <v>151</v>
      </c>
      <c r="F5" s="11" t="s">
        <v>152</v>
      </c>
      <c r="G5" s="11" t="s">
        <v>153</v>
      </c>
      <c r="H5" s="11" t="str">
        <f aca="false">IF('Execution Tracker'!G5="","",'Execution Tracker'!G5)</f>
        <v/>
      </c>
      <c r="I5" s="11" t="str">
        <f aca="false">'Execution Tracker'!D5</f>
        <v>Not Executed</v>
      </c>
      <c r="J5" s="11" t="s">
        <v>44</v>
      </c>
      <c r="K5" s="11" t="s">
        <v>154</v>
      </c>
    </row>
    <row r="6" customFormat="false" ht="23.85" hidden="false" customHeight="false" outlineLevel="0" collapsed="false">
      <c r="A6" s="11" t="s">
        <v>62</v>
      </c>
      <c r="B6" s="11" t="s">
        <v>28</v>
      </c>
      <c r="C6" s="11" t="s">
        <v>155</v>
      </c>
      <c r="D6" s="11" t="s">
        <v>150</v>
      </c>
      <c r="E6" s="11" t="s">
        <v>156</v>
      </c>
      <c r="F6" s="11" t="s">
        <v>157</v>
      </c>
      <c r="G6" s="11" t="s">
        <v>158</v>
      </c>
      <c r="H6" s="11" t="str">
        <f aca="false">IF('Execution Tracker'!G6="","",'Execution Tracker'!G6)</f>
        <v/>
      </c>
      <c r="I6" s="11" t="str">
        <f aca="false">'Execution Tracker'!D6</f>
        <v>Not Executed</v>
      </c>
      <c r="J6" s="11" t="s">
        <v>44</v>
      </c>
      <c r="K6" s="11" t="s">
        <v>143</v>
      </c>
    </row>
    <row r="7" customFormat="false" ht="35.05" hidden="false" customHeight="false" outlineLevel="0" collapsed="false">
      <c r="A7" s="11" t="s">
        <v>63</v>
      </c>
      <c r="B7" s="11" t="s">
        <v>28</v>
      </c>
      <c r="C7" s="11" t="s">
        <v>159</v>
      </c>
      <c r="D7" s="11" t="s">
        <v>150</v>
      </c>
      <c r="E7" s="11" t="s">
        <v>160</v>
      </c>
      <c r="F7" s="11" t="s">
        <v>161</v>
      </c>
      <c r="G7" s="11" t="s">
        <v>162</v>
      </c>
      <c r="H7" s="11" t="str">
        <f aca="false">IF('Execution Tracker'!G7="","",'Execution Tracker'!G7)</f>
        <v/>
      </c>
      <c r="I7" s="11" t="str">
        <f aca="false">'Execution Tracker'!D7</f>
        <v>Not Executed</v>
      </c>
      <c r="J7" s="11" t="s">
        <v>44</v>
      </c>
      <c r="K7" s="11" t="s">
        <v>154</v>
      </c>
    </row>
    <row r="8" customFormat="false" ht="35.05" hidden="false" customHeight="false" outlineLevel="0" collapsed="false">
      <c r="A8" s="11" t="s">
        <v>64</v>
      </c>
      <c r="B8" s="11" t="s">
        <v>28</v>
      </c>
      <c r="C8" s="11" t="s">
        <v>163</v>
      </c>
      <c r="D8" s="11" t="s">
        <v>150</v>
      </c>
      <c r="E8" s="11" t="s">
        <v>164</v>
      </c>
      <c r="F8" s="11" t="s">
        <v>165</v>
      </c>
      <c r="G8" s="11" t="s">
        <v>166</v>
      </c>
      <c r="H8" s="11" t="str">
        <f aca="false">IF('Execution Tracker'!G8="","",'Execution Tracker'!G8)</f>
        <v/>
      </c>
      <c r="I8" s="11" t="str">
        <f aca="false">'Execution Tracker'!D8</f>
        <v>Not Executed</v>
      </c>
      <c r="J8" s="11" t="s">
        <v>44</v>
      </c>
      <c r="K8" s="11" t="s">
        <v>167</v>
      </c>
    </row>
    <row r="9" customFormat="false" ht="23.85" hidden="false" customHeight="false" outlineLevel="0" collapsed="false">
      <c r="A9" s="11" t="s">
        <v>65</v>
      </c>
      <c r="B9" s="11" t="s">
        <v>28</v>
      </c>
      <c r="C9" s="11" t="s">
        <v>168</v>
      </c>
      <c r="D9" s="11" t="s">
        <v>150</v>
      </c>
      <c r="E9" s="11" t="s">
        <v>169</v>
      </c>
      <c r="F9" s="11" t="s">
        <v>170</v>
      </c>
      <c r="G9" s="11" t="s">
        <v>171</v>
      </c>
      <c r="H9" s="11" t="str">
        <f aca="false">IF('Execution Tracker'!G9="","",'Execution Tracker'!G9)</f>
        <v/>
      </c>
      <c r="I9" s="11" t="str">
        <f aca="false">'Execution Tracker'!D9</f>
        <v>Not Executed</v>
      </c>
      <c r="J9" s="11" t="s">
        <v>45</v>
      </c>
      <c r="K9" s="11" t="s">
        <v>143</v>
      </c>
    </row>
    <row r="10" customFormat="false" ht="23.85" hidden="false" customHeight="false" outlineLevel="0" collapsed="false">
      <c r="A10" s="11" t="s">
        <v>66</v>
      </c>
      <c r="B10" s="11" t="s">
        <v>28</v>
      </c>
      <c r="C10" s="11" t="s">
        <v>172</v>
      </c>
      <c r="D10" s="11" t="s">
        <v>150</v>
      </c>
      <c r="E10" s="11" t="s">
        <v>173</v>
      </c>
      <c r="F10" s="11" t="s">
        <v>174</v>
      </c>
      <c r="G10" s="11" t="s">
        <v>175</v>
      </c>
      <c r="H10" s="11" t="str">
        <f aca="false">IF('Execution Tracker'!G10="","",'Execution Tracker'!G10)</f>
        <v/>
      </c>
      <c r="I10" s="11" t="str">
        <f aca="false">'Execution Tracker'!D10</f>
        <v>Not Executed</v>
      </c>
      <c r="J10" s="11" t="s">
        <v>44</v>
      </c>
      <c r="K10" s="11" t="s">
        <v>154</v>
      </c>
    </row>
    <row r="11" customFormat="false" ht="35.05" hidden="false" customHeight="false" outlineLevel="0" collapsed="false">
      <c r="A11" s="11" t="s">
        <v>67</v>
      </c>
      <c r="B11" s="11" t="s">
        <v>29</v>
      </c>
      <c r="C11" s="11" t="s">
        <v>176</v>
      </c>
      <c r="D11" s="11" t="s">
        <v>177</v>
      </c>
      <c r="E11" s="11" t="s">
        <v>178</v>
      </c>
      <c r="F11" s="11" t="s">
        <v>179</v>
      </c>
      <c r="G11" s="11" t="s">
        <v>180</v>
      </c>
      <c r="H11" s="11" t="str">
        <f aca="false">IF('Execution Tracker'!G11="","",'Execution Tracker'!G11)</f>
        <v/>
      </c>
      <c r="I11" s="11" t="str">
        <f aca="false">'Execution Tracker'!D11</f>
        <v>Not Executed</v>
      </c>
      <c r="J11" s="11" t="s">
        <v>44</v>
      </c>
      <c r="K11" s="11" t="s">
        <v>137</v>
      </c>
    </row>
    <row r="12" customFormat="false" ht="23.85" hidden="false" customHeight="false" outlineLevel="0" collapsed="false">
      <c r="A12" s="11" t="s">
        <v>68</v>
      </c>
      <c r="B12" s="11" t="s">
        <v>29</v>
      </c>
      <c r="C12" s="11" t="s">
        <v>181</v>
      </c>
      <c r="D12" s="11" t="s">
        <v>177</v>
      </c>
      <c r="E12" s="11" t="s">
        <v>182</v>
      </c>
      <c r="F12" s="11" t="s">
        <v>183</v>
      </c>
      <c r="G12" s="11" t="s">
        <v>184</v>
      </c>
      <c r="H12" s="11" t="str">
        <f aca="false">IF('Execution Tracker'!G12="","",'Execution Tracker'!G12)</f>
        <v/>
      </c>
      <c r="I12" s="11" t="str">
        <f aca="false">'Execution Tracker'!D12</f>
        <v>Not Executed</v>
      </c>
      <c r="J12" s="11" t="s">
        <v>44</v>
      </c>
      <c r="K12" s="11" t="s">
        <v>143</v>
      </c>
    </row>
    <row r="13" customFormat="false" ht="23.85" hidden="false" customHeight="false" outlineLevel="0" collapsed="false">
      <c r="A13" s="11" t="s">
        <v>69</v>
      </c>
      <c r="B13" s="11" t="s">
        <v>29</v>
      </c>
      <c r="C13" s="11" t="s">
        <v>185</v>
      </c>
      <c r="D13" s="11" t="s">
        <v>186</v>
      </c>
      <c r="E13" s="11" t="s">
        <v>187</v>
      </c>
      <c r="F13" s="11" t="s">
        <v>188</v>
      </c>
      <c r="G13" s="11" t="s">
        <v>189</v>
      </c>
      <c r="H13" s="11" t="str">
        <f aca="false">IF('Execution Tracker'!G13="","",'Execution Tracker'!G13)</f>
        <v/>
      </c>
      <c r="I13" s="11" t="str">
        <f aca="false">'Execution Tracker'!D13</f>
        <v>Not Executed</v>
      </c>
      <c r="J13" s="11" t="s">
        <v>45</v>
      </c>
      <c r="K13" s="11" t="s">
        <v>143</v>
      </c>
    </row>
    <row r="14" customFormat="false" ht="23.85" hidden="false" customHeight="false" outlineLevel="0" collapsed="false">
      <c r="A14" s="11" t="s">
        <v>70</v>
      </c>
      <c r="B14" s="11" t="s">
        <v>29</v>
      </c>
      <c r="C14" s="11" t="s">
        <v>190</v>
      </c>
      <c r="D14" s="11" t="s">
        <v>191</v>
      </c>
      <c r="E14" s="11" t="s">
        <v>192</v>
      </c>
      <c r="F14" s="11" t="s">
        <v>193</v>
      </c>
      <c r="G14" s="11" t="s">
        <v>194</v>
      </c>
      <c r="H14" s="11" t="str">
        <f aca="false">IF('Execution Tracker'!G14="","",'Execution Tracker'!G14)</f>
        <v/>
      </c>
      <c r="I14" s="11" t="str">
        <f aca="false">'Execution Tracker'!D14</f>
        <v>Not Executed</v>
      </c>
      <c r="J14" s="11" t="s">
        <v>45</v>
      </c>
      <c r="K14" s="11" t="s">
        <v>154</v>
      </c>
    </row>
    <row r="15" customFormat="false" ht="57.45" hidden="false" customHeight="false" outlineLevel="0" collapsed="false">
      <c r="A15" s="11" t="s">
        <v>71</v>
      </c>
      <c r="B15" s="11" t="s">
        <v>29</v>
      </c>
      <c r="C15" s="11" t="s">
        <v>195</v>
      </c>
      <c r="D15" s="11" t="s">
        <v>196</v>
      </c>
      <c r="E15" s="11" t="s">
        <v>197</v>
      </c>
      <c r="F15" s="11" t="s">
        <v>198</v>
      </c>
      <c r="G15" s="11" t="s">
        <v>199</v>
      </c>
      <c r="H15" s="11" t="str">
        <f aca="false">IF('Execution Tracker'!G15="","",'Execution Tracker'!G15)</f>
        <v/>
      </c>
      <c r="I15" s="11" t="str">
        <f aca="false">'Execution Tracker'!D15</f>
        <v>Not Executed</v>
      </c>
      <c r="J15" s="11" t="s">
        <v>44</v>
      </c>
      <c r="K15" s="11" t="s">
        <v>167</v>
      </c>
    </row>
    <row r="16" customFormat="false" ht="35.05" hidden="false" customHeight="false" outlineLevel="0" collapsed="false">
      <c r="A16" s="11" t="s">
        <v>72</v>
      </c>
      <c r="B16" s="11" t="s">
        <v>29</v>
      </c>
      <c r="C16" s="11" t="s">
        <v>200</v>
      </c>
      <c r="D16" s="11" t="s">
        <v>201</v>
      </c>
      <c r="E16" s="11" t="s">
        <v>202</v>
      </c>
      <c r="F16" s="11" t="s">
        <v>203</v>
      </c>
      <c r="G16" s="11" t="s">
        <v>204</v>
      </c>
      <c r="H16" s="11" t="str">
        <f aca="false">IF('Execution Tracker'!G16="","",'Execution Tracker'!G16)</f>
        <v/>
      </c>
      <c r="I16" s="11" t="str">
        <f aca="false">'Execution Tracker'!D16</f>
        <v>Not Executed</v>
      </c>
      <c r="J16" s="11" t="s">
        <v>44</v>
      </c>
      <c r="K16" s="11" t="s">
        <v>143</v>
      </c>
    </row>
    <row r="17" customFormat="false" ht="35.05" hidden="false" customHeight="false" outlineLevel="0" collapsed="false">
      <c r="A17" s="11" t="s">
        <v>73</v>
      </c>
      <c r="B17" s="11" t="s">
        <v>29</v>
      </c>
      <c r="C17" s="11" t="s">
        <v>205</v>
      </c>
      <c r="D17" s="11" t="s">
        <v>206</v>
      </c>
      <c r="E17" s="11" t="s">
        <v>207</v>
      </c>
      <c r="F17" s="11" t="s">
        <v>208</v>
      </c>
      <c r="G17" s="11" t="s">
        <v>209</v>
      </c>
      <c r="H17" s="11" t="str">
        <f aca="false">IF('Execution Tracker'!G17="","",'Execution Tracker'!G17)</f>
        <v/>
      </c>
      <c r="I17" s="11" t="str">
        <f aca="false">'Execution Tracker'!D17</f>
        <v>Not Executed</v>
      </c>
      <c r="J17" s="11" t="s">
        <v>44</v>
      </c>
      <c r="K17" s="11" t="s">
        <v>137</v>
      </c>
    </row>
    <row r="18" customFormat="false" ht="23.85" hidden="false" customHeight="false" outlineLevel="0" collapsed="false">
      <c r="A18" s="11" t="s">
        <v>74</v>
      </c>
      <c r="B18" s="11" t="s">
        <v>30</v>
      </c>
      <c r="C18" s="11" t="s">
        <v>210</v>
      </c>
      <c r="D18" s="11" t="s">
        <v>211</v>
      </c>
      <c r="E18" s="11" t="s">
        <v>212</v>
      </c>
      <c r="F18" s="11" t="s">
        <v>213</v>
      </c>
      <c r="G18" s="11" t="s">
        <v>214</v>
      </c>
      <c r="H18" s="11" t="str">
        <f aca="false">IF('Execution Tracker'!G18="","",'Execution Tracker'!G18)</f>
        <v/>
      </c>
      <c r="I18" s="11" t="str">
        <f aca="false">'Execution Tracker'!D18</f>
        <v>Not Executed</v>
      </c>
      <c r="J18" s="11" t="s">
        <v>44</v>
      </c>
      <c r="K18" s="11" t="s">
        <v>137</v>
      </c>
    </row>
    <row r="19" customFormat="false" ht="23.85" hidden="false" customHeight="false" outlineLevel="0" collapsed="false">
      <c r="A19" s="11" t="s">
        <v>75</v>
      </c>
      <c r="B19" s="11" t="s">
        <v>30</v>
      </c>
      <c r="C19" s="11" t="s">
        <v>215</v>
      </c>
      <c r="D19" s="11" t="s">
        <v>211</v>
      </c>
      <c r="E19" s="11" t="s">
        <v>216</v>
      </c>
      <c r="F19" s="11" t="s">
        <v>217</v>
      </c>
      <c r="G19" s="11" t="s">
        <v>218</v>
      </c>
      <c r="H19" s="11" t="str">
        <f aca="false">IF('Execution Tracker'!G19="","",'Execution Tracker'!G19)</f>
        <v/>
      </c>
      <c r="I19" s="11" t="str">
        <f aca="false">'Execution Tracker'!D19</f>
        <v>Not Executed</v>
      </c>
      <c r="J19" s="11" t="s">
        <v>45</v>
      </c>
      <c r="K19" s="11" t="s">
        <v>143</v>
      </c>
    </row>
    <row r="20" customFormat="false" ht="35.05" hidden="false" customHeight="false" outlineLevel="0" collapsed="false">
      <c r="A20" s="11" t="s">
        <v>76</v>
      </c>
      <c r="B20" s="11" t="s">
        <v>30</v>
      </c>
      <c r="C20" s="11" t="s">
        <v>219</v>
      </c>
      <c r="D20" s="11" t="s">
        <v>211</v>
      </c>
      <c r="E20" s="11" t="s">
        <v>220</v>
      </c>
      <c r="F20" s="11" t="s">
        <v>221</v>
      </c>
      <c r="G20" s="11" t="s">
        <v>222</v>
      </c>
      <c r="H20" s="11" t="str">
        <f aca="false">IF('Execution Tracker'!G20="","",'Execution Tracker'!G20)</f>
        <v/>
      </c>
      <c r="I20" s="11" t="str">
        <f aca="false">'Execution Tracker'!D20</f>
        <v>Not Executed</v>
      </c>
      <c r="J20" s="11" t="s">
        <v>45</v>
      </c>
      <c r="K20" s="11" t="s">
        <v>167</v>
      </c>
    </row>
    <row r="21" customFormat="false" ht="23.85" hidden="false" customHeight="false" outlineLevel="0" collapsed="false">
      <c r="A21" s="11" t="s">
        <v>77</v>
      </c>
      <c r="B21" s="11" t="s">
        <v>30</v>
      </c>
      <c r="C21" s="11" t="s">
        <v>223</v>
      </c>
      <c r="D21" s="11" t="s">
        <v>211</v>
      </c>
      <c r="E21" s="11" t="s">
        <v>224</v>
      </c>
      <c r="F21" s="11" t="s">
        <v>225</v>
      </c>
      <c r="G21" s="11" t="s">
        <v>226</v>
      </c>
      <c r="H21" s="11" t="str">
        <f aca="false">IF('Execution Tracker'!G21="","",'Execution Tracker'!G21)</f>
        <v/>
      </c>
      <c r="I21" s="11" t="str">
        <f aca="false">'Execution Tracker'!D21</f>
        <v>Not Executed</v>
      </c>
      <c r="J21" s="11" t="s">
        <v>44</v>
      </c>
      <c r="K21" s="11" t="s">
        <v>143</v>
      </c>
    </row>
    <row r="22" customFormat="false" ht="35.05" hidden="false" customHeight="false" outlineLevel="0" collapsed="false">
      <c r="A22" s="11" t="s">
        <v>78</v>
      </c>
      <c r="B22" s="11" t="s">
        <v>31</v>
      </c>
      <c r="C22" s="11" t="s">
        <v>227</v>
      </c>
      <c r="D22" s="11" t="s">
        <v>228</v>
      </c>
      <c r="E22" s="11" t="s">
        <v>229</v>
      </c>
      <c r="F22" s="11" t="s">
        <v>230</v>
      </c>
      <c r="G22" s="11" t="s">
        <v>231</v>
      </c>
      <c r="H22" s="11" t="str">
        <f aca="false">IF('Execution Tracker'!G22="","",'Execution Tracker'!G22)</f>
        <v/>
      </c>
      <c r="I22" s="11" t="str">
        <f aca="false">'Execution Tracker'!D22</f>
        <v>Not Executed</v>
      </c>
      <c r="J22" s="11" t="s">
        <v>44</v>
      </c>
      <c r="K22" s="11" t="s">
        <v>137</v>
      </c>
    </row>
    <row r="23" customFormat="false" ht="23.85" hidden="false" customHeight="false" outlineLevel="0" collapsed="false">
      <c r="A23" s="11" t="s">
        <v>79</v>
      </c>
      <c r="B23" s="11" t="s">
        <v>31</v>
      </c>
      <c r="C23" s="11" t="s">
        <v>232</v>
      </c>
      <c r="D23" s="11" t="s">
        <v>233</v>
      </c>
      <c r="E23" s="11" t="s">
        <v>234</v>
      </c>
      <c r="F23" s="11" t="s">
        <v>235</v>
      </c>
      <c r="G23" s="11" t="s">
        <v>236</v>
      </c>
      <c r="H23" s="11" t="str">
        <f aca="false">IF('Execution Tracker'!G23="","",'Execution Tracker'!G23)</f>
        <v/>
      </c>
      <c r="I23" s="11" t="str">
        <f aca="false">'Execution Tracker'!D23</f>
        <v>Not Executed</v>
      </c>
      <c r="J23" s="11" t="s">
        <v>44</v>
      </c>
      <c r="K23" s="11" t="s">
        <v>154</v>
      </c>
    </row>
    <row r="24" customFormat="false" ht="23.85" hidden="false" customHeight="false" outlineLevel="0" collapsed="false">
      <c r="A24" s="11" t="s">
        <v>80</v>
      </c>
      <c r="B24" s="11" t="s">
        <v>31</v>
      </c>
      <c r="C24" s="11" t="s">
        <v>237</v>
      </c>
      <c r="D24" s="11" t="s">
        <v>238</v>
      </c>
      <c r="E24" s="11" t="s">
        <v>239</v>
      </c>
      <c r="F24" s="11" t="s">
        <v>240</v>
      </c>
      <c r="G24" s="11" t="s">
        <v>241</v>
      </c>
      <c r="H24" s="11" t="str">
        <f aca="false">IF('Execution Tracker'!G24="","",'Execution Tracker'!G24)</f>
        <v/>
      </c>
      <c r="I24" s="11" t="str">
        <f aca="false">'Execution Tracker'!D24</f>
        <v>Not Executed</v>
      </c>
      <c r="J24" s="11" t="s">
        <v>44</v>
      </c>
      <c r="K24" s="11" t="s">
        <v>143</v>
      </c>
    </row>
    <row r="25" customFormat="false" ht="23.85" hidden="false" customHeight="false" outlineLevel="0" collapsed="false">
      <c r="A25" s="11" t="s">
        <v>81</v>
      </c>
      <c r="B25" s="11" t="s">
        <v>31</v>
      </c>
      <c r="C25" s="11" t="s">
        <v>242</v>
      </c>
      <c r="D25" s="11" t="s">
        <v>243</v>
      </c>
      <c r="E25" s="11" t="s">
        <v>244</v>
      </c>
      <c r="F25" s="11" t="s">
        <v>245</v>
      </c>
      <c r="G25" s="11" t="s">
        <v>246</v>
      </c>
      <c r="H25" s="11" t="str">
        <f aca="false">IF('Execution Tracker'!G25="","",'Execution Tracker'!G25)</f>
        <v/>
      </c>
      <c r="I25" s="11" t="str">
        <f aca="false">'Execution Tracker'!D25</f>
        <v>Not Executed</v>
      </c>
      <c r="J25" s="11" t="s">
        <v>45</v>
      </c>
      <c r="K25" s="11" t="s">
        <v>137</v>
      </c>
    </row>
    <row r="26" customFormat="false" ht="35.05" hidden="false" customHeight="false" outlineLevel="0" collapsed="false">
      <c r="A26" s="11" t="s">
        <v>82</v>
      </c>
      <c r="B26" s="11" t="s">
        <v>32</v>
      </c>
      <c r="C26" s="11" t="s">
        <v>247</v>
      </c>
      <c r="D26" s="11" t="s">
        <v>248</v>
      </c>
      <c r="E26" s="11" t="s">
        <v>249</v>
      </c>
      <c r="F26" s="11" t="s">
        <v>250</v>
      </c>
      <c r="G26" s="11" t="s">
        <v>251</v>
      </c>
      <c r="H26" s="11" t="str">
        <f aca="false">IF('Execution Tracker'!G26="","",'Execution Tracker'!G26)</f>
        <v/>
      </c>
      <c r="I26" s="11" t="str">
        <f aca="false">'Execution Tracker'!D26</f>
        <v>Not Executed</v>
      </c>
      <c r="J26" s="11" t="s">
        <v>44</v>
      </c>
      <c r="K26" s="11" t="s">
        <v>137</v>
      </c>
    </row>
    <row r="27" customFormat="false" ht="23.85" hidden="false" customHeight="false" outlineLevel="0" collapsed="false">
      <c r="A27" s="11" t="s">
        <v>83</v>
      </c>
      <c r="B27" s="11" t="s">
        <v>32</v>
      </c>
      <c r="C27" s="11" t="s">
        <v>252</v>
      </c>
      <c r="D27" s="11" t="s">
        <v>253</v>
      </c>
      <c r="E27" s="11" t="s">
        <v>254</v>
      </c>
      <c r="F27" s="11" t="s">
        <v>255</v>
      </c>
      <c r="G27" s="11" t="s">
        <v>256</v>
      </c>
      <c r="H27" s="11" t="str">
        <f aca="false">IF('Execution Tracker'!G27="","",'Execution Tracker'!G27)</f>
        <v/>
      </c>
      <c r="I27" s="11" t="str">
        <f aca="false">'Execution Tracker'!D27</f>
        <v>Not Executed</v>
      </c>
      <c r="J27" s="11" t="s">
        <v>44</v>
      </c>
      <c r="K27" s="11" t="s">
        <v>137</v>
      </c>
    </row>
    <row r="28" customFormat="false" ht="23.85" hidden="false" customHeight="false" outlineLevel="0" collapsed="false">
      <c r="A28" s="11" t="s">
        <v>84</v>
      </c>
      <c r="B28" s="11" t="s">
        <v>32</v>
      </c>
      <c r="C28" s="11" t="s">
        <v>257</v>
      </c>
      <c r="D28" s="11" t="s">
        <v>258</v>
      </c>
      <c r="E28" s="11" t="s">
        <v>259</v>
      </c>
      <c r="F28" s="11" t="s">
        <v>260</v>
      </c>
      <c r="G28" s="11" t="s">
        <v>261</v>
      </c>
      <c r="H28" s="11" t="str">
        <f aca="false">IF('Execution Tracker'!G28="","",'Execution Tracker'!G28)</f>
        <v/>
      </c>
      <c r="I28" s="11" t="str">
        <f aca="false">'Execution Tracker'!D28</f>
        <v>Not Executed</v>
      </c>
      <c r="J28" s="11" t="s">
        <v>44</v>
      </c>
      <c r="K28" s="11" t="s">
        <v>137</v>
      </c>
    </row>
    <row r="29" customFormat="false" ht="35.05" hidden="false" customHeight="false" outlineLevel="0" collapsed="false">
      <c r="A29" s="11" t="s">
        <v>85</v>
      </c>
      <c r="B29" s="11" t="s">
        <v>32</v>
      </c>
      <c r="C29" s="11" t="s">
        <v>262</v>
      </c>
      <c r="D29" s="11" t="s">
        <v>263</v>
      </c>
      <c r="E29" s="11" t="s">
        <v>207</v>
      </c>
      <c r="F29" s="11" t="s">
        <v>264</v>
      </c>
      <c r="G29" s="11" t="s">
        <v>265</v>
      </c>
      <c r="H29" s="11" t="str">
        <f aca="false">IF('Execution Tracker'!G29="","",'Execution Tracker'!G29)</f>
        <v/>
      </c>
      <c r="I29" s="11" t="str">
        <f aca="false">'Execution Tracker'!D29</f>
        <v>Not Executed</v>
      </c>
      <c r="J29" s="11" t="s">
        <v>45</v>
      </c>
      <c r="K29" s="11" t="s">
        <v>137</v>
      </c>
    </row>
    <row r="30" customFormat="false" ht="15" hidden="false" customHeight="false" outlineLevel="0" collapsed="false">
      <c r="A30" s="11" t="s">
        <v>86</v>
      </c>
      <c r="B30" s="11" t="s">
        <v>32</v>
      </c>
      <c r="C30" s="11" t="s">
        <v>266</v>
      </c>
      <c r="D30" s="11" t="s">
        <v>267</v>
      </c>
      <c r="E30" s="11" t="s">
        <v>186</v>
      </c>
      <c r="F30" s="11" t="s">
        <v>268</v>
      </c>
      <c r="G30" s="11" t="s">
        <v>269</v>
      </c>
      <c r="H30" s="11" t="str">
        <f aca="false">IF('Execution Tracker'!G30="","",'Execution Tracker'!G30)</f>
        <v/>
      </c>
      <c r="I30" s="11" t="str">
        <f aca="false">'Execution Tracker'!D30</f>
        <v>Not Executed</v>
      </c>
      <c r="J30" s="11" t="s">
        <v>45</v>
      </c>
      <c r="K30" s="11" t="s">
        <v>143</v>
      </c>
    </row>
    <row r="31" customFormat="false" ht="23.85" hidden="false" customHeight="false" outlineLevel="0" collapsed="false">
      <c r="A31" s="11" t="s">
        <v>87</v>
      </c>
      <c r="B31" s="11" t="s">
        <v>33</v>
      </c>
      <c r="C31" s="11" t="s">
        <v>270</v>
      </c>
      <c r="D31" s="11" t="s">
        <v>271</v>
      </c>
      <c r="E31" s="11" t="s">
        <v>272</v>
      </c>
      <c r="F31" s="11" t="s">
        <v>273</v>
      </c>
      <c r="G31" s="11" t="s">
        <v>274</v>
      </c>
      <c r="H31" s="11" t="str">
        <f aca="false">IF('Execution Tracker'!G31="","",'Execution Tracker'!G31)</f>
        <v/>
      </c>
      <c r="I31" s="11" t="str">
        <f aca="false">'Execution Tracker'!D31</f>
        <v>Not Executed</v>
      </c>
      <c r="J31" s="11" t="s">
        <v>44</v>
      </c>
      <c r="K31" s="11" t="s">
        <v>137</v>
      </c>
    </row>
    <row r="32" customFormat="false" ht="23.85" hidden="false" customHeight="false" outlineLevel="0" collapsed="false">
      <c r="A32" s="11" t="s">
        <v>88</v>
      </c>
      <c r="B32" s="11" t="s">
        <v>33</v>
      </c>
      <c r="C32" s="11" t="s">
        <v>275</v>
      </c>
      <c r="D32" s="11" t="s">
        <v>276</v>
      </c>
      <c r="E32" s="11" t="s">
        <v>277</v>
      </c>
      <c r="F32" s="11" t="s">
        <v>278</v>
      </c>
      <c r="G32" s="11" t="s">
        <v>279</v>
      </c>
      <c r="H32" s="11" t="str">
        <f aca="false">IF('Execution Tracker'!G32="","",'Execution Tracker'!G32)</f>
        <v/>
      </c>
      <c r="I32" s="11" t="str">
        <f aca="false">'Execution Tracker'!D32</f>
        <v>Not Executed</v>
      </c>
      <c r="J32" s="11" t="s">
        <v>44</v>
      </c>
      <c r="K32" s="11" t="s">
        <v>167</v>
      </c>
    </row>
    <row r="33" customFormat="false" ht="23.85" hidden="false" customHeight="false" outlineLevel="0" collapsed="false">
      <c r="A33" s="11" t="s">
        <v>89</v>
      </c>
      <c r="B33" s="11" t="s">
        <v>33</v>
      </c>
      <c r="C33" s="11" t="s">
        <v>280</v>
      </c>
      <c r="D33" s="11" t="s">
        <v>281</v>
      </c>
      <c r="E33" s="11" t="s">
        <v>282</v>
      </c>
      <c r="F33" s="11" t="s">
        <v>283</v>
      </c>
      <c r="G33" s="11" t="s">
        <v>284</v>
      </c>
      <c r="H33" s="11" t="str">
        <f aca="false">IF('Execution Tracker'!G33="","",'Execution Tracker'!G33)</f>
        <v/>
      </c>
      <c r="I33" s="11" t="str">
        <f aca="false">'Execution Tracker'!D33</f>
        <v>Not Executed</v>
      </c>
      <c r="J33" s="11" t="s">
        <v>44</v>
      </c>
      <c r="K33" s="11" t="s">
        <v>167</v>
      </c>
    </row>
    <row r="34" customFormat="false" ht="23.85" hidden="false" customHeight="false" outlineLevel="0" collapsed="false">
      <c r="A34" s="11" t="s">
        <v>90</v>
      </c>
      <c r="B34" s="11" t="s">
        <v>33</v>
      </c>
      <c r="C34" s="11" t="s">
        <v>285</v>
      </c>
      <c r="D34" s="11" t="s">
        <v>243</v>
      </c>
      <c r="E34" s="11" t="s">
        <v>286</v>
      </c>
      <c r="F34" s="11" t="s">
        <v>287</v>
      </c>
      <c r="G34" s="11" t="s">
        <v>288</v>
      </c>
      <c r="H34" s="11" t="str">
        <f aca="false">IF('Execution Tracker'!G34="","",'Execution Tracker'!G34)</f>
        <v/>
      </c>
      <c r="I34" s="11" t="str">
        <f aca="false">'Execution Tracker'!D34</f>
        <v>Not Executed</v>
      </c>
      <c r="J34" s="11" t="s">
        <v>44</v>
      </c>
      <c r="K34" s="11" t="s">
        <v>167</v>
      </c>
    </row>
    <row r="35" customFormat="false" ht="23.85" hidden="false" customHeight="false" outlineLevel="0" collapsed="false">
      <c r="A35" s="11" t="s">
        <v>91</v>
      </c>
      <c r="B35" s="11" t="s">
        <v>33</v>
      </c>
      <c r="C35" s="11" t="s">
        <v>289</v>
      </c>
      <c r="D35" s="11" t="s">
        <v>281</v>
      </c>
      <c r="E35" s="11" t="s">
        <v>290</v>
      </c>
      <c r="F35" s="11" t="s">
        <v>291</v>
      </c>
      <c r="G35" s="11" t="s">
        <v>292</v>
      </c>
      <c r="H35" s="11" t="str">
        <f aca="false">IF('Execution Tracker'!G35="","",'Execution Tracker'!G35)</f>
        <v/>
      </c>
      <c r="I35" s="11" t="str">
        <f aca="false">'Execution Tracker'!D35</f>
        <v>Not Executed</v>
      </c>
      <c r="J35" s="11" t="s">
        <v>45</v>
      </c>
      <c r="K35" s="11" t="s">
        <v>154</v>
      </c>
    </row>
    <row r="36" customFormat="false" ht="23.85" hidden="false" customHeight="false" outlineLevel="0" collapsed="false">
      <c r="A36" s="11" t="s">
        <v>92</v>
      </c>
      <c r="B36" s="11" t="s">
        <v>34</v>
      </c>
      <c r="C36" s="11" t="s">
        <v>293</v>
      </c>
      <c r="D36" s="11" t="s">
        <v>294</v>
      </c>
      <c r="E36" s="11" t="s">
        <v>186</v>
      </c>
      <c r="F36" s="11" t="s">
        <v>295</v>
      </c>
      <c r="G36" s="11" t="s">
        <v>296</v>
      </c>
      <c r="H36" s="11" t="str">
        <f aca="false">IF('Execution Tracker'!G36="","",'Execution Tracker'!G36)</f>
        <v/>
      </c>
      <c r="I36" s="11" t="str">
        <f aca="false">'Execution Tracker'!D36</f>
        <v>Not Executed</v>
      </c>
      <c r="J36" s="11" t="s">
        <v>44</v>
      </c>
      <c r="K36" s="11" t="s">
        <v>143</v>
      </c>
    </row>
    <row r="37" customFormat="false" ht="23.85" hidden="false" customHeight="false" outlineLevel="0" collapsed="false">
      <c r="A37" s="11" t="s">
        <v>93</v>
      </c>
      <c r="B37" s="11" t="s">
        <v>34</v>
      </c>
      <c r="C37" s="11" t="s">
        <v>297</v>
      </c>
      <c r="D37" s="11" t="s">
        <v>298</v>
      </c>
      <c r="E37" s="11" t="s">
        <v>299</v>
      </c>
      <c r="F37" s="11" t="s">
        <v>300</v>
      </c>
      <c r="G37" s="11" t="s">
        <v>301</v>
      </c>
      <c r="H37" s="11" t="str">
        <f aca="false">IF('Execution Tracker'!G37="","",'Execution Tracker'!G37)</f>
        <v/>
      </c>
      <c r="I37" s="11" t="str">
        <f aca="false">'Execution Tracker'!D37</f>
        <v>Not Executed</v>
      </c>
      <c r="J37" s="11" t="s">
        <v>44</v>
      </c>
      <c r="K37" s="11" t="s">
        <v>302</v>
      </c>
    </row>
    <row r="38" customFormat="false" ht="23.85" hidden="false" customHeight="false" outlineLevel="0" collapsed="false">
      <c r="A38" s="11" t="s">
        <v>94</v>
      </c>
      <c r="B38" s="11" t="s">
        <v>34</v>
      </c>
      <c r="C38" s="11" t="s">
        <v>303</v>
      </c>
      <c r="D38" s="11" t="s">
        <v>304</v>
      </c>
      <c r="E38" s="11" t="s">
        <v>305</v>
      </c>
      <c r="F38" s="11" t="s">
        <v>306</v>
      </c>
      <c r="G38" s="11" t="s">
        <v>307</v>
      </c>
      <c r="H38" s="11" t="str">
        <f aca="false">IF('Execution Tracker'!G38="","",'Execution Tracker'!G38)</f>
        <v/>
      </c>
      <c r="I38" s="11" t="str">
        <f aca="false">'Execution Tracker'!D38</f>
        <v>Not Executed</v>
      </c>
      <c r="J38" s="11" t="s">
        <v>44</v>
      </c>
      <c r="K38" s="11" t="s">
        <v>167</v>
      </c>
    </row>
    <row r="39" customFormat="false" ht="23.85" hidden="false" customHeight="false" outlineLevel="0" collapsed="false">
      <c r="A39" s="11" t="s">
        <v>95</v>
      </c>
      <c r="B39" s="11" t="s">
        <v>34</v>
      </c>
      <c r="C39" s="11" t="s">
        <v>308</v>
      </c>
      <c r="D39" s="11" t="s">
        <v>309</v>
      </c>
      <c r="E39" s="11" t="s">
        <v>310</v>
      </c>
      <c r="F39" s="11" t="s">
        <v>311</v>
      </c>
      <c r="G39" s="11" t="s">
        <v>312</v>
      </c>
      <c r="H39" s="11" t="str">
        <f aca="false">IF('Execution Tracker'!G39="","",'Execution Tracker'!G39)</f>
        <v/>
      </c>
      <c r="I39" s="11" t="str">
        <f aca="false">'Execution Tracker'!D39</f>
        <v>Not Executed</v>
      </c>
      <c r="J39" s="11" t="s">
        <v>45</v>
      </c>
      <c r="K39" s="11" t="s">
        <v>302</v>
      </c>
    </row>
    <row r="40" customFormat="false" ht="35.05" hidden="false" customHeight="false" outlineLevel="0" collapsed="false">
      <c r="A40" s="11" t="s">
        <v>96</v>
      </c>
      <c r="B40" s="11" t="s">
        <v>35</v>
      </c>
      <c r="C40" s="11" t="s">
        <v>313</v>
      </c>
      <c r="D40" s="11" t="s">
        <v>314</v>
      </c>
      <c r="E40" s="11" t="s">
        <v>315</v>
      </c>
      <c r="F40" s="11" t="s">
        <v>316</v>
      </c>
      <c r="G40" s="11" t="s">
        <v>317</v>
      </c>
      <c r="H40" s="11" t="str">
        <f aca="false">IF('Execution Tracker'!G40="","",'Execution Tracker'!G40)</f>
        <v/>
      </c>
      <c r="I40" s="11" t="str">
        <f aca="false">'Execution Tracker'!D40</f>
        <v>Not Executed</v>
      </c>
      <c r="J40" s="11" t="s">
        <v>44</v>
      </c>
      <c r="K40" s="11" t="s">
        <v>137</v>
      </c>
    </row>
    <row r="41" customFormat="false" ht="23.85" hidden="false" customHeight="false" outlineLevel="0" collapsed="false">
      <c r="A41" s="11" t="s">
        <v>97</v>
      </c>
      <c r="B41" s="11" t="s">
        <v>35</v>
      </c>
      <c r="C41" s="11" t="s">
        <v>318</v>
      </c>
      <c r="D41" s="11" t="s">
        <v>319</v>
      </c>
      <c r="E41" s="11" t="s">
        <v>156</v>
      </c>
      <c r="F41" s="11" t="s">
        <v>320</v>
      </c>
      <c r="G41" s="11" t="s">
        <v>321</v>
      </c>
      <c r="H41" s="11" t="str">
        <f aca="false">IF('Execution Tracker'!G41="","",'Execution Tracker'!G41)</f>
        <v/>
      </c>
      <c r="I41" s="11" t="str">
        <f aca="false">'Execution Tracker'!D41</f>
        <v>Not Executed</v>
      </c>
      <c r="J41" s="11" t="s">
        <v>44</v>
      </c>
      <c r="K41" s="11" t="s">
        <v>143</v>
      </c>
    </row>
    <row r="42" customFormat="false" ht="23.85" hidden="false" customHeight="false" outlineLevel="0" collapsed="false">
      <c r="A42" s="11" t="s">
        <v>98</v>
      </c>
      <c r="B42" s="11" t="s">
        <v>35</v>
      </c>
      <c r="C42" s="11" t="s">
        <v>322</v>
      </c>
      <c r="D42" s="11" t="s">
        <v>319</v>
      </c>
      <c r="E42" s="11" t="s">
        <v>323</v>
      </c>
      <c r="F42" s="11" t="s">
        <v>324</v>
      </c>
      <c r="G42" s="11" t="s">
        <v>325</v>
      </c>
      <c r="H42" s="11" t="str">
        <f aca="false">IF('Execution Tracker'!G42="","",'Execution Tracker'!G42)</f>
        <v/>
      </c>
      <c r="I42" s="11" t="str">
        <f aca="false">'Execution Tracker'!D42</f>
        <v>Not Executed</v>
      </c>
      <c r="J42" s="11" t="s">
        <v>44</v>
      </c>
      <c r="K42" s="11" t="s">
        <v>167</v>
      </c>
    </row>
    <row r="43" customFormat="false" ht="35.05" hidden="false" customHeight="false" outlineLevel="0" collapsed="false">
      <c r="A43" s="11" t="s">
        <v>99</v>
      </c>
      <c r="B43" s="11" t="s">
        <v>35</v>
      </c>
      <c r="C43" s="11" t="s">
        <v>326</v>
      </c>
      <c r="D43" s="11" t="s">
        <v>327</v>
      </c>
      <c r="E43" s="11" t="s">
        <v>207</v>
      </c>
      <c r="F43" s="11" t="s">
        <v>328</v>
      </c>
      <c r="G43" s="11" t="s">
        <v>329</v>
      </c>
      <c r="H43" s="11" t="str">
        <f aca="false">IF('Execution Tracker'!G43="","",'Execution Tracker'!G43)</f>
        <v/>
      </c>
      <c r="I43" s="11" t="str">
        <f aca="false">'Execution Tracker'!D43</f>
        <v>Not Executed</v>
      </c>
      <c r="J43" s="11" t="s">
        <v>45</v>
      </c>
      <c r="K43" s="11" t="s">
        <v>137</v>
      </c>
    </row>
    <row r="44" customFormat="false" ht="46.25" hidden="false" customHeight="false" outlineLevel="0" collapsed="false">
      <c r="A44" s="11" t="s">
        <v>100</v>
      </c>
      <c r="B44" s="11" t="s">
        <v>35</v>
      </c>
      <c r="C44" s="11" t="s">
        <v>330</v>
      </c>
      <c r="D44" s="11" t="s">
        <v>331</v>
      </c>
      <c r="E44" s="11" t="s">
        <v>332</v>
      </c>
      <c r="F44" s="11" t="s">
        <v>333</v>
      </c>
      <c r="G44" s="11" t="s">
        <v>334</v>
      </c>
      <c r="H44" s="11" t="str">
        <f aca="false">IF('Execution Tracker'!G44="","",'Execution Tracker'!G44)</f>
        <v/>
      </c>
      <c r="I44" s="11" t="str">
        <f aca="false">'Execution Tracker'!D44</f>
        <v>Not Executed</v>
      </c>
      <c r="J44" s="11" t="s">
        <v>44</v>
      </c>
      <c r="K44" s="11" t="s">
        <v>143</v>
      </c>
    </row>
    <row r="45" customFormat="false" ht="35.05" hidden="false" customHeight="false" outlineLevel="0" collapsed="false">
      <c r="A45" s="11" t="s">
        <v>101</v>
      </c>
      <c r="B45" s="11" t="s">
        <v>36</v>
      </c>
      <c r="C45" s="11" t="s">
        <v>335</v>
      </c>
      <c r="D45" s="11" t="s">
        <v>336</v>
      </c>
      <c r="E45" s="11" t="s">
        <v>337</v>
      </c>
      <c r="F45" s="11" t="s">
        <v>338</v>
      </c>
      <c r="G45" s="11" t="s">
        <v>339</v>
      </c>
      <c r="H45" s="11" t="str">
        <f aca="false">IF('Execution Tracker'!G45="","",'Execution Tracker'!G45)</f>
        <v/>
      </c>
      <c r="I45" s="11" t="str">
        <f aca="false">'Execution Tracker'!D45</f>
        <v>Not Executed</v>
      </c>
      <c r="J45" s="11" t="s">
        <v>44</v>
      </c>
      <c r="K45" s="11" t="s">
        <v>137</v>
      </c>
    </row>
    <row r="46" customFormat="false" ht="23.85" hidden="false" customHeight="false" outlineLevel="0" collapsed="false">
      <c r="A46" s="11" t="s">
        <v>102</v>
      </c>
      <c r="B46" s="11" t="s">
        <v>36</v>
      </c>
      <c r="C46" s="11" t="s">
        <v>340</v>
      </c>
      <c r="D46" s="11" t="s">
        <v>341</v>
      </c>
      <c r="E46" s="11" t="s">
        <v>342</v>
      </c>
      <c r="F46" s="11" t="s">
        <v>343</v>
      </c>
      <c r="G46" s="11" t="s">
        <v>344</v>
      </c>
      <c r="H46" s="11" t="str">
        <f aca="false">IF('Execution Tracker'!G46="","",'Execution Tracker'!G46)</f>
        <v/>
      </c>
      <c r="I46" s="11" t="str">
        <f aca="false">'Execution Tracker'!D46</f>
        <v>Not Executed</v>
      </c>
      <c r="J46" s="11" t="s">
        <v>44</v>
      </c>
      <c r="K46" s="11" t="s">
        <v>143</v>
      </c>
    </row>
    <row r="47" customFormat="false" ht="23.85" hidden="false" customHeight="false" outlineLevel="0" collapsed="false">
      <c r="A47" s="11" t="s">
        <v>103</v>
      </c>
      <c r="B47" s="11" t="s">
        <v>36</v>
      </c>
      <c r="C47" s="11" t="s">
        <v>345</v>
      </c>
      <c r="D47" s="11" t="s">
        <v>346</v>
      </c>
      <c r="E47" s="11" t="s">
        <v>186</v>
      </c>
      <c r="F47" s="11" t="s">
        <v>347</v>
      </c>
      <c r="G47" s="11" t="s">
        <v>348</v>
      </c>
      <c r="H47" s="11" t="str">
        <f aca="false">IF('Execution Tracker'!G47="","",'Execution Tracker'!G47)</f>
        <v/>
      </c>
      <c r="I47" s="11" t="str">
        <f aca="false">'Execution Tracker'!D47</f>
        <v>Not Executed</v>
      </c>
      <c r="J47" s="11" t="s">
        <v>45</v>
      </c>
      <c r="K47" s="11" t="s">
        <v>143</v>
      </c>
    </row>
    <row r="48" customFormat="false" ht="46.25" hidden="false" customHeight="false" outlineLevel="0" collapsed="false">
      <c r="A48" s="11" t="s">
        <v>104</v>
      </c>
      <c r="B48" s="11" t="s">
        <v>36</v>
      </c>
      <c r="C48" s="11" t="s">
        <v>349</v>
      </c>
      <c r="D48" s="11" t="s">
        <v>350</v>
      </c>
      <c r="E48" s="11" t="s">
        <v>351</v>
      </c>
      <c r="F48" s="11" t="s">
        <v>352</v>
      </c>
      <c r="G48" s="11" t="s">
        <v>353</v>
      </c>
      <c r="H48" s="11" t="str">
        <f aca="false">IF('Execution Tracker'!G48="","",'Execution Tracker'!G48)</f>
        <v/>
      </c>
      <c r="I48" s="11" t="str">
        <f aca="false">'Execution Tracker'!D48</f>
        <v>Not Executed</v>
      </c>
      <c r="J48" s="11" t="s">
        <v>44</v>
      </c>
      <c r="K48" s="11" t="s">
        <v>143</v>
      </c>
    </row>
    <row r="49" customFormat="false" ht="23.85" hidden="false" customHeight="false" outlineLevel="0" collapsed="false">
      <c r="A49" s="11" t="s">
        <v>105</v>
      </c>
      <c r="B49" s="11" t="s">
        <v>37</v>
      </c>
      <c r="C49" s="11" t="s">
        <v>354</v>
      </c>
      <c r="D49" s="11" t="s">
        <v>355</v>
      </c>
      <c r="E49" s="11" t="s">
        <v>356</v>
      </c>
      <c r="F49" s="11" t="s">
        <v>357</v>
      </c>
      <c r="G49" s="11" t="s">
        <v>358</v>
      </c>
      <c r="H49" s="11" t="str">
        <f aca="false">IF('Execution Tracker'!G49="","",'Execution Tracker'!G49)</f>
        <v/>
      </c>
      <c r="I49" s="11" t="str">
        <f aca="false">'Execution Tracker'!D49</f>
        <v>Not Executed</v>
      </c>
      <c r="J49" s="11" t="s">
        <v>44</v>
      </c>
      <c r="K49" s="11" t="s">
        <v>137</v>
      </c>
    </row>
    <row r="50" customFormat="false" ht="35.05" hidden="false" customHeight="false" outlineLevel="0" collapsed="false">
      <c r="A50" s="11" t="s">
        <v>106</v>
      </c>
      <c r="B50" s="11" t="s">
        <v>37</v>
      </c>
      <c r="C50" s="11" t="s">
        <v>359</v>
      </c>
      <c r="D50" s="11" t="s">
        <v>355</v>
      </c>
      <c r="E50" s="11" t="s">
        <v>360</v>
      </c>
      <c r="F50" s="11" t="s">
        <v>361</v>
      </c>
      <c r="G50" s="11" t="s">
        <v>362</v>
      </c>
      <c r="H50" s="11" t="str">
        <f aca="false">IF('Execution Tracker'!G50="","",'Execution Tracker'!G50)</f>
        <v/>
      </c>
      <c r="I50" s="11" t="str">
        <f aca="false">'Execution Tracker'!D50</f>
        <v>Not Executed</v>
      </c>
      <c r="J50" s="11" t="s">
        <v>44</v>
      </c>
      <c r="K50" s="11" t="s">
        <v>143</v>
      </c>
    </row>
    <row r="51" customFormat="false" ht="23.85" hidden="false" customHeight="false" outlineLevel="0" collapsed="false">
      <c r="A51" s="11" t="s">
        <v>107</v>
      </c>
      <c r="B51" s="11" t="s">
        <v>37</v>
      </c>
      <c r="C51" s="11" t="s">
        <v>363</v>
      </c>
      <c r="D51" s="11" t="s">
        <v>364</v>
      </c>
      <c r="E51" s="11" t="s">
        <v>365</v>
      </c>
      <c r="F51" s="11" t="s">
        <v>366</v>
      </c>
      <c r="G51" s="11" t="s">
        <v>367</v>
      </c>
      <c r="H51" s="11" t="str">
        <f aca="false">IF('Execution Tracker'!G51="","",'Execution Tracker'!G51)</f>
        <v/>
      </c>
      <c r="I51" s="11" t="str">
        <f aca="false">'Execution Tracker'!D51</f>
        <v>Not Executed</v>
      </c>
      <c r="J51" s="11" t="s">
        <v>45</v>
      </c>
      <c r="K51" s="11" t="s">
        <v>137</v>
      </c>
    </row>
    <row r="52" customFormat="false" ht="23.85" hidden="false" customHeight="false" outlineLevel="0" collapsed="false">
      <c r="A52" s="11" t="s">
        <v>108</v>
      </c>
      <c r="B52" s="11" t="s">
        <v>37</v>
      </c>
      <c r="C52" s="11" t="s">
        <v>368</v>
      </c>
      <c r="D52" s="11" t="s">
        <v>369</v>
      </c>
      <c r="E52" s="11" t="s">
        <v>370</v>
      </c>
      <c r="F52" s="11" t="s">
        <v>371</v>
      </c>
      <c r="G52" s="11" t="s">
        <v>372</v>
      </c>
      <c r="H52" s="11" t="str">
        <f aca="false">IF('Execution Tracker'!G52="","",'Execution Tracker'!G52)</f>
        <v/>
      </c>
      <c r="I52" s="11" t="str">
        <f aca="false">'Execution Tracker'!D52</f>
        <v>Not Executed</v>
      </c>
      <c r="J52" s="11" t="s">
        <v>45</v>
      </c>
      <c r="K52" s="11" t="s">
        <v>167</v>
      </c>
    </row>
    <row r="53" customFormat="false" ht="23.85" hidden="false" customHeight="false" outlineLevel="0" collapsed="false">
      <c r="A53" s="11" t="s">
        <v>109</v>
      </c>
      <c r="B53" s="11" t="s">
        <v>37</v>
      </c>
      <c r="C53" s="11" t="s">
        <v>373</v>
      </c>
      <c r="D53" s="11" t="s">
        <v>374</v>
      </c>
      <c r="E53" s="11" t="s">
        <v>375</v>
      </c>
      <c r="F53" s="11" t="s">
        <v>376</v>
      </c>
      <c r="G53" s="11" t="s">
        <v>377</v>
      </c>
      <c r="H53" s="11" t="str">
        <f aca="false">IF('Execution Tracker'!G53="","",'Execution Tracker'!G53)</f>
        <v/>
      </c>
      <c r="I53" s="11" t="str">
        <f aca="false">'Execution Tracker'!D53</f>
        <v>Not Executed</v>
      </c>
      <c r="J53" s="11" t="s">
        <v>45</v>
      </c>
      <c r="K53" s="11" t="s">
        <v>154</v>
      </c>
    </row>
    <row r="54" customFormat="false" ht="23.85" hidden="false" customHeight="false" outlineLevel="0" collapsed="false">
      <c r="A54" s="11" t="s">
        <v>110</v>
      </c>
      <c r="B54" s="11" t="s">
        <v>38</v>
      </c>
      <c r="C54" s="11" t="s">
        <v>378</v>
      </c>
      <c r="D54" s="11" t="s">
        <v>379</v>
      </c>
      <c r="E54" s="11" t="s">
        <v>380</v>
      </c>
      <c r="F54" s="11" t="s">
        <v>381</v>
      </c>
      <c r="G54" s="11" t="s">
        <v>382</v>
      </c>
      <c r="H54" s="11" t="str">
        <f aca="false">IF('Execution Tracker'!G54="","",'Execution Tracker'!G54)</f>
        <v/>
      </c>
      <c r="I54" s="11" t="str">
        <f aca="false">'Execution Tracker'!D54</f>
        <v>Not Executed</v>
      </c>
      <c r="J54" s="11" t="s">
        <v>44</v>
      </c>
      <c r="K54" s="11" t="s">
        <v>137</v>
      </c>
    </row>
    <row r="55" customFormat="false" ht="23.85" hidden="false" customHeight="false" outlineLevel="0" collapsed="false">
      <c r="A55" s="11" t="s">
        <v>111</v>
      </c>
      <c r="B55" s="11" t="s">
        <v>38</v>
      </c>
      <c r="C55" s="11" t="s">
        <v>383</v>
      </c>
      <c r="D55" s="11" t="s">
        <v>384</v>
      </c>
      <c r="E55" s="11" t="s">
        <v>385</v>
      </c>
      <c r="F55" s="11" t="s">
        <v>386</v>
      </c>
      <c r="G55" s="11" t="s">
        <v>387</v>
      </c>
      <c r="H55" s="11" t="str">
        <f aca="false">IF('Execution Tracker'!G55="","",'Execution Tracker'!G55)</f>
        <v/>
      </c>
      <c r="I55" s="11" t="str">
        <f aca="false">'Execution Tracker'!D55</f>
        <v>Not Executed</v>
      </c>
      <c r="J55" s="11" t="s">
        <v>44</v>
      </c>
      <c r="K55" s="11" t="s">
        <v>154</v>
      </c>
    </row>
    <row r="56" customFormat="false" ht="23.85" hidden="false" customHeight="false" outlineLevel="0" collapsed="false">
      <c r="A56" s="11" t="s">
        <v>112</v>
      </c>
      <c r="B56" s="11" t="s">
        <v>38</v>
      </c>
      <c r="C56" s="11" t="s">
        <v>388</v>
      </c>
      <c r="D56" s="11" t="s">
        <v>389</v>
      </c>
      <c r="E56" s="11" t="s">
        <v>390</v>
      </c>
      <c r="F56" s="11" t="s">
        <v>391</v>
      </c>
      <c r="G56" s="11" t="s">
        <v>392</v>
      </c>
      <c r="H56" s="11" t="str">
        <f aca="false">IF('Execution Tracker'!G56="","",'Execution Tracker'!G56)</f>
        <v/>
      </c>
      <c r="I56" s="11" t="str">
        <f aca="false">'Execution Tracker'!D56</f>
        <v>Not Executed</v>
      </c>
      <c r="J56" s="11" t="s">
        <v>44</v>
      </c>
      <c r="K56" s="11" t="s">
        <v>143</v>
      </c>
    </row>
    <row r="57" customFormat="false" ht="35.05" hidden="false" customHeight="false" outlineLevel="0" collapsed="false">
      <c r="A57" s="11" t="s">
        <v>113</v>
      </c>
      <c r="B57" s="11" t="s">
        <v>39</v>
      </c>
      <c r="C57" s="11" t="s">
        <v>393</v>
      </c>
      <c r="D57" s="11" t="s">
        <v>394</v>
      </c>
      <c r="E57" s="11" t="s">
        <v>395</v>
      </c>
      <c r="F57" s="11" t="s">
        <v>396</v>
      </c>
      <c r="G57" s="11" t="s">
        <v>397</v>
      </c>
      <c r="H57" s="11" t="str">
        <f aca="false">IF('Execution Tracker'!G57="","",'Execution Tracker'!G57)</f>
        <v/>
      </c>
      <c r="I57" s="11" t="str">
        <f aca="false">'Execution Tracker'!D57</f>
        <v>Not Executed</v>
      </c>
      <c r="J57" s="11" t="s">
        <v>44</v>
      </c>
      <c r="K57" s="11" t="s">
        <v>137</v>
      </c>
    </row>
    <row r="58" customFormat="false" ht="23.85" hidden="false" customHeight="false" outlineLevel="0" collapsed="false">
      <c r="A58" s="11" t="s">
        <v>114</v>
      </c>
      <c r="B58" s="11" t="s">
        <v>39</v>
      </c>
      <c r="C58" s="11" t="s">
        <v>398</v>
      </c>
      <c r="D58" s="11" t="s">
        <v>399</v>
      </c>
      <c r="E58" s="11" t="s">
        <v>400</v>
      </c>
      <c r="F58" s="11" t="s">
        <v>401</v>
      </c>
      <c r="G58" s="11" t="s">
        <v>402</v>
      </c>
      <c r="H58" s="11" t="str">
        <f aca="false">IF('Execution Tracker'!G58="","",'Execution Tracker'!G58)</f>
        <v/>
      </c>
      <c r="I58" s="11" t="str">
        <f aca="false">'Execution Tracker'!D58</f>
        <v>Not Executed</v>
      </c>
      <c r="J58" s="11" t="s">
        <v>44</v>
      </c>
      <c r="K58" s="11" t="s">
        <v>137</v>
      </c>
    </row>
    <row r="59" customFormat="false" ht="35.05" hidden="false" customHeight="false" outlineLevel="0" collapsed="false">
      <c r="A59" s="11" t="s">
        <v>115</v>
      </c>
      <c r="B59" s="11" t="s">
        <v>39</v>
      </c>
      <c r="C59" s="11" t="s">
        <v>403</v>
      </c>
      <c r="D59" s="11" t="s">
        <v>404</v>
      </c>
      <c r="E59" s="11" t="s">
        <v>405</v>
      </c>
      <c r="F59" s="11" t="s">
        <v>406</v>
      </c>
      <c r="G59" s="11" t="s">
        <v>407</v>
      </c>
      <c r="H59" s="11" t="str">
        <f aca="false">IF('Execution Tracker'!G59="","",'Execution Tracker'!G59)</f>
        <v/>
      </c>
      <c r="I59" s="11" t="str">
        <f aca="false">'Execution Tracker'!D59</f>
        <v>Not Executed</v>
      </c>
      <c r="J59" s="11" t="s">
        <v>44</v>
      </c>
      <c r="K59" s="11" t="s">
        <v>143</v>
      </c>
    </row>
    <row r="60" customFormat="false" ht="23.85" hidden="false" customHeight="false" outlineLevel="0" collapsed="false">
      <c r="A60" s="11" t="s">
        <v>116</v>
      </c>
      <c r="B60" s="11" t="s">
        <v>39</v>
      </c>
      <c r="C60" s="11" t="s">
        <v>408</v>
      </c>
      <c r="D60" s="11" t="s">
        <v>409</v>
      </c>
      <c r="E60" s="11" t="s">
        <v>410</v>
      </c>
      <c r="F60" s="11" t="s">
        <v>411</v>
      </c>
      <c r="G60" s="11" t="s">
        <v>412</v>
      </c>
      <c r="H60" s="11" t="str">
        <f aca="false">IF('Execution Tracker'!G60="","",'Execution Tracker'!G60)</f>
        <v/>
      </c>
      <c r="I60" s="11" t="str">
        <f aca="false">'Execution Tracker'!D60</f>
        <v>Not Executed</v>
      </c>
      <c r="J60" s="11" t="s">
        <v>44</v>
      </c>
      <c r="K60" s="11" t="s">
        <v>143</v>
      </c>
    </row>
    <row r="61" customFormat="false" ht="35.05" hidden="false" customHeight="false" outlineLevel="0" collapsed="false">
      <c r="A61" s="11" t="s">
        <v>117</v>
      </c>
      <c r="B61" s="11" t="s">
        <v>39</v>
      </c>
      <c r="C61" s="11" t="s">
        <v>413</v>
      </c>
      <c r="D61" s="11" t="s">
        <v>414</v>
      </c>
      <c r="E61" s="11" t="s">
        <v>415</v>
      </c>
      <c r="F61" s="11" t="s">
        <v>416</v>
      </c>
      <c r="G61" s="11" t="s">
        <v>417</v>
      </c>
      <c r="H61" s="11" t="str">
        <f aca="false">IF('Execution Tracker'!G61="","",'Execution Tracker'!G61)</f>
        <v/>
      </c>
      <c r="I61" s="11" t="str">
        <f aca="false">'Execution Tracker'!D61</f>
        <v>Not Executed</v>
      </c>
      <c r="J61" s="11" t="s">
        <v>46</v>
      </c>
      <c r="K61" s="11" t="s">
        <v>154</v>
      </c>
    </row>
    <row r="62" customFormat="false" ht="35.05" hidden="false" customHeight="false" outlineLevel="0" collapsed="false">
      <c r="A62" s="11" t="s">
        <v>118</v>
      </c>
      <c r="B62" s="11" t="s">
        <v>40</v>
      </c>
      <c r="C62" s="11" t="s">
        <v>418</v>
      </c>
      <c r="D62" s="11" t="s">
        <v>419</v>
      </c>
      <c r="E62" s="11" t="s">
        <v>420</v>
      </c>
      <c r="F62" s="11" t="s">
        <v>421</v>
      </c>
      <c r="G62" s="11" t="s">
        <v>422</v>
      </c>
      <c r="H62" s="11" t="str">
        <f aca="false">IF('Execution Tracker'!G62="","",'Execution Tracker'!G62)</f>
        <v/>
      </c>
      <c r="I62" s="11" t="str">
        <f aca="false">'Execution Tracker'!D62</f>
        <v>Not Executed</v>
      </c>
      <c r="J62" s="11" t="s">
        <v>44</v>
      </c>
      <c r="K62" s="11" t="s">
        <v>137</v>
      </c>
    </row>
    <row r="63" customFormat="false" ht="35.05" hidden="false" customHeight="false" outlineLevel="0" collapsed="false">
      <c r="A63" s="11" t="s">
        <v>119</v>
      </c>
      <c r="B63" s="11" t="s">
        <v>40</v>
      </c>
      <c r="C63" s="11" t="s">
        <v>423</v>
      </c>
      <c r="D63" s="11" t="s">
        <v>424</v>
      </c>
      <c r="E63" s="11" t="s">
        <v>425</v>
      </c>
      <c r="F63" s="11" t="s">
        <v>426</v>
      </c>
      <c r="G63" s="11" t="s">
        <v>427</v>
      </c>
      <c r="H63" s="11" t="str">
        <f aca="false">IF('Execution Tracker'!G63="","",'Execution Tracker'!G63)</f>
        <v/>
      </c>
      <c r="I63" s="11" t="str">
        <f aca="false">'Execution Tracker'!D63</f>
        <v>Not Executed</v>
      </c>
      <c r="J63" s="11" t="s">
        <v>44</v>
      </c>
      <c r="K63" s="11" t="s">
        <v>143</v>
      </c>
    </row>
    <row r="64" customFormat="false" ht="35.05" hidden="false" customHeight="false" outlineLevel="0" collapsed="false">
      <c r="A64" s="11" t="s">
        <v>120</v>
      </c>
      <c r="B64" s="11" t="s">
        <v>40</v>
      </c>
      <c r="C64" s="11" t="s">
        <v>428</v>
      </c>
      <c r="D64" s="11" t="s">
        <v>429</v>
      </c>
      <c r="E64" s="11" t="s">
        <v>430</v>
      </c>
      <c r="F64" s="11" t="s">
        <v>431</v>
      </c>
      <c r="G64" s="11" t="s">
        <v>432</v>
      </c>
      <c r="H64" s="11" t="str">
        <f aca="false">IF('Execution Tracker'!G64="","",'Execution Tracker'!G64)</f>
        <v/>
      </c>
      <c r="I64" s="11" t="str">
        <f aca="false">'Execution Tracker'!D64</f>
        <v>Not Executed</v>
      </c>
      <c r="J64" s="11" t="s">
        <v>44</v>
      </c>
      <c r="K64" s="11" t="s">
        <v>143</v>
      </c>
    </row>
    <row r="65" customFormat="false" ht="23.85" hidden="false" customHeight="false" outlineLevel="0" collapsed="false">
      <c r="A65" s="11" t="s">
        <v>121</v>
      </c>
      <c r="B65" s="11" t="s">
        <v>40</v>
      </c>
      <c r="C65" s="11" t="s">
        <v>433</v>
      </c>
      <c r="D65" s="11" t="s">
        <v>434</v>
      </c>
      <c r="E65" s="11" t="s">
        <v>435</v>
      </c>
      <c r="F65" s="11" t="s">
        <v>436</v>
      </c>
      <c r="G65" s="11" t="s">
        <v>437</v>
      </c>
      <c r="H65" s="11" t="str">
        <f aca="false">IF('Execution Tracker'!G65="","",'Execution Tracker'!G65)</f>
        <v/>
      </c>
      <c r="I65" s="11" t="str">
        <f aca="false">'Execution Tracker'!D65</f>
        <v>Not Executed</v>
      </c>
      <c r="J65" s="11" t="s">
        <v>45</v>
      </c>
      <c r="K65" s="11" t="s">
        <v>154</v>
      </c>
    </row>
    <row r="66" customFormat="false" ht="79.85" hidden="false" customHeight="false" outlineLevel="0" collapsed="false">
      <c r="A66" s="11" t="s">
        <v>122</v>
      </c>
      <c r="B66" s="11" t="s">
        <v>41</v>
      </c>
      <c r="C66" s="11" t="s">
        <v>438</v>
      </c>
      <c r="D66" s="11" t="s">
        <v>439</v>
      </c>
      <c r="E66" s="11" t="s">
        <v>440</v>
      </c>
      <c r="F66" s="11" t="s">
        <v>441</v>
      </c>
      <c r="G66" s="11" t="s">
        <v>442</v>
      </c>
      <c r="H66" s="11" t="str">
        <f aca="false">IF('Execution Tracker'!G66="","",'Execution Tracker'!G66)</f>
        <v/>
      </c>
      <c r="I66" s="11" t="str">
        <f aca="false">'Execution Tracker'!D66</f>
        <v>Not Executed</v>
      </c>
      <c r="J66" s="11" t="s">
        <v>44</v>
      </c>
      <c r="K66" s="11" t="s">
        <v>41</v>
      </c>
    </row>
    <row r="67" customFormat="false" ht="46.25" hidden="false" customHeight="false" outlineLevel="0" collapsed="false">
      <c r="A67" s="11" t="s">
        <v>123</v>
      </c>
      <c r="B67" s="11" t="s">
        <v>41</v>
      </c>
      <c r="C67" s="11" t="s">
        <v>443</v>
      </c>
      <c r="D67" s="11" t="s">
        <v>444</v>
      </c>
      <c r="E67" s="11" t="s">
        <v>445</v>
      </c>
      <c r="F67" s="11" t="s">
        <v>446</v>
      </c>
      <c r="G67" s="11" t="s">
        <v>447</v>
      </c>
      <c r="H67" s="11" t="str">
        <f aca="false">IF('Execution Tracker'!G67="","",'Execution Tracker'!G67)</f>
        <v/>
      </c>
      <c r="I67" s="11" t="str">
        <f aca="false">'Execution Tracker'!D67</f>
        <v>Not Executed</v>
      </c>
      <c r="J67" s="11" t="s">
        <v>44</v>
      </c>
      <c r="K67" s="11" t="s">
        <v>41</v>
      </c>
    </row>
    <row r="68" customFormat="false" ht="46.25" hidden="false" customHeight="false" outlineLevel="0" collapsed="false">
      <c r="A68" s="11" t="s">
        <v>124</v>
      </c>
      <c r="B68" s="11" t="s">
        <v>41</v>
      </c>
      <c r="C68" s="11" t="s">
        <v>448</v>
      </c>
      <c r="D68" s="11" t="s">
        <v>444</v>
      </c>
      <c r="E68" s="11" t="s">
        <v>449</v>
      </c>
      <c r="F68" s="11" t="s">
        <v>450</v>
      </c>
      <c r="G68" s="11" t="s">
        <v>451</v>
      </c>
      <c r="H68" s="11" t="str">
        <f aca="false">IF('Execution Tracker'!G68="","",'Execution Tracker'!G68)</f>
        <v/>
      </c>
      <c r="I68" s="11" t="str">
        <f aca="false">'Execution Tracker'!D68</f>
        <v>Not Executed</v>
      </c>
      <c r="J68" s="11" t="s">
        <v>44</v>
      </c>
      <c r="K68" s="11" t="s">
        <v>41</v>
      </c>
    </row>
  </sheetData>
  <autoFilter ref="A1:K68"/>
  <conditionalFormatting sqref="I2:I68">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0"/>
    <col collapsed="false" customWidth="true" hidden="false" outlineLevel="0" max="3" min="3" style="0" width="36"/>
    <col collapsed="false" customWidth="true" hidden="false" outlineLevel="0" max="4" min="4" style="0" width="22"/>
    <col collapsed="false" customWidth="true" hidden="false" outlineLevel="0" max="5" min="5" style="0" width="12"/>
    <col collapsed="false" customWidth="true" hidden="false" outlineLevel="0" max="6" min="6" style="0" width="32"/>
    <col collapsed="false" customWidth="true" hidden="false" outlineLevel="0" max="7" min="7" style="0" width="46"/>
    <col collapsed="false" customWidth="true" hidden="false" outlineLevel="0" max="9" min="8" style="0" width="36"/>
    <col collapsed="false" customWidth="true" hidden="false" outlineLevel="0" max="11" min="10" style="0" width="10"/>
    <col collapsed="false" customWidth="true" hidden="false" outlineLevel="0" max="12" min="12" style="0" width="34"/>
    <col collapsed="false" customWidth="true" hidden="false" outlineLevel="0" max="13" min="13" style="0" width="22"/>
    <col collapsed="false" customWidth="true" hidden="false" outlineLevel="0" max="15" min="14" style="0" width="14"/>
    <col collapsed="false" customWidth="true" hidden="false" outlineLevel="0" max="16" min="16" style="0" width="18"/>
  </cols>
  <sheetData>
    <row r="1" customFormat="false" ht="15" hidden="false" customHeight="false" outlineLevel="0" collapsed="false">
      <c r="A1" s="10" t="s">
        <v>452</v>
      </c>
      <c r="B1" s="10" t="s">
        <v>453</v>
      </c>
      <c r="C1" s="10" t="s">
        <v>454</v>
      </c>
      <c r="D1" s="10" t="s">
        <v>26</v>
      </c>
      <c r="E1" s="10" t="s">
        <v>455</v>
      </c>
      <c r="F1" s="10" t="s">
        <v>126</v>
      </c>
      <c r="G1" s="10" t="s">
        <v>456</v>
      </c>
      <c r="H1" s="10" t="s">
        <v>129</v>
      </c>
      <c r="I1" s="10" t="s">
        <v>130</v>
      </c>
      <c r="J1" s="10" t="s">
        <v>48</v>
      </c>
      <c r="K1" s="10" t="s">
        <v>43</v>
      </c>
      <c r="L1" s="10" t="s">
        <v>457</v>
      </c>
      <c r="M1" s="10" t="s">
        <v>52</v>
      </c>
      <c r="N1" s="10" t="s">
        <v>458</v>
      </c>
      <c r="O1" s="10" t="s">
        <v>459</v>
      </c>
      <c r="P1" s="10" t="s">
        <v>460</v>
      </c>
    </row>
    <row r="2" customFormat="false" ht="46.25" hidden="false" customHeight="false" outlineLevel="0" collapsed="false">
      <c r="A2" s="11" t="s">
        <v>461</v>
      </c>
      <c r="B2" s="11" t="s">
        <v>462</v>
      </c>
      <c r="C2" s="11" t="s">
        <v>463</v>
      </c>
      <c r="D2" s="11" t="s">
        <v>33</v>
      </c>
      <c r="E2" s="11" t="s">
        <v>87</v>
      </c>
      <c r="F2" s="11" t="s">
        <v>464</v>
      </c>
      <c r="G2" s="11" t="s">
        <v>465</v>
      </c>
      <c r="H2" s="11" t="s">
        <v>466</v>
      </c>
      <c r="I2" s="11" t="s">
        <v>467</v>
      </c>
      <c r="J2" s="11" t="s">
        <v>44</v>
      </c>
      <c r="K2" s="11" t="s">
        <v>44</v>
      </c>
      <c r="L2" s="11" t="s">
        <v>468</v>
      </c>
      <c r="M2" s="11" t="s">
        <v>469</v>
      </c>
      <c r="N2" s="11" t="s">
        <v>470</v>
      </c>
      <c r="O2" s="11" t="s">
        <v>471</v>
      </c>
      <c r="P2" s="11" t="s">
        <v>472</v>
      </c>
    </row>
    <row r="3" customFormat="false" ht="46.25" hidden="false" customHeight="false" outlineLevel="0" collapsed="false">
      <c r="A3" s="11" t="s">
        <v>473</v>
      </c>
      <c r="B3" s="11" t="s">
        <v>462</v>
      </c>
      <c r="C3" s="11" t="s">
        <v>474</v>
      </c>
      <c r="D3" s="11" t="s">
        <v>40</v>
      </c>
      <c r="E3" s="11" t="s">
        <v>118</v>
      </c>
      <c r="F3" s="11" t="s">
        <v>475</v>
      </c>
      <c r="G3" s="11" t="s">
        <v>476</v>
      </c>
      <c r="H3" s="11" t="s">
        <v>477</v>
      </c>
      <c r="I3" s="11" t="s">
        <v>478</v>
      </c>
      <c r="J3" s="11" t="s">
        <v>44</v>
      </c>
      <c r="K3" s="11" t="s">
        <v>44</v>
      </c>
      <c r="L3" s="11" t="s">
        <v>468</v>
      </c>
      <c r="M3" s="11" t="s">
        <v>469</v>
      </c>
      <c r="N3" s="11" t="s">
        <v>470</v>
      </c>
      <c r="O3" s="11" t="s">
        <v>471</v>
      </c>
      <c r="P3" s="11" t="s">
        <v>479</v>
      </c>
    </row>
    <row r="4" customFormat="false" ht="35.05" hidden="false" customHeight="false" outlineLevel="0" collapsed="false">
      <c r="A4" s="11" t="s">
        <v>480</v>
      </c>
      <c r="B4" s="11" t="s">
        <v>462</v>
      </c>
      <c r="C4" s="11" t="s">
        <v>481</v>
      </c>
      <c r="D4" s="11" t="s">
        <v>35</v>
      </c>
      <c r="E4" s="11" t="s">
        <v>98</v>
      </c>
      <c r="F4" s="11" t="s">
        <v>482</v>
      </c>
      <c r="G4" s="11" t="s">
        <v>483</v>
      </c>
      <c r="H4" s="11" t="s">
        <v>484</v>
      </c>
      <c r="I4" s="11" t="s">
        <v>485</v>
      </c>
      <c r="J4" s="11" t="s">
        <v>45</v>
      </c>
      <c r="K4" s="11" t="s">
        <v>45</v>
      </c>
      <c r="L4" s="11" t="s">
        <v>468</v>
      </c>
      <c r="M4" s="11" t="s">
        <v>469</v>
      </c>
      <c r="N4" s="11" t="s">
        <v>470</v>
      </c>
      <c r="O4" s="11" t="s">
        <v>471</v>
      </c>
      <c r="P4" s="11" t="s">
        <v>486</v>
      </c>
    </row>
    <row r="5" customFormat="false" ht="57.45" hidden="false" customHeight="false" outlineLevel="0" collapsed="false">
      <c r="A5" s="11" t="s">
        <v>487</v>
      </c>
      <c r="B5" s="11" t="s">
        <v>462</v>
      </c>
      <c r="C5" s="11" t="s">
        <v>488</v>
      </c>
      <c r="D5" s="11" t="s">
        <v>37</v>
      </c>
      <c r="E5" s="11" t="s">
        <v>106</v>
      </c>
      <c r="F5" s="11" t="s">
        <v>489</v>
      </c>
      <c r="G5" s="11" t="s">
        <v>490</v>
      </c>
      <c r="H5" s="11" t="s">
        <v>491</v>
      </c>
      <c r="I5" s="11" t="s">
        <v>492</v>
      </c>
      <c r="J5" s="11" t="s">
        <v>50</v>
      </c>
      <c r="K5" s="11" t="s">
        <v>44</v>
      </c>
      <c r="L5" s="11" t="s">
        <v>468</v>
      </c>
      <c r="M5" s="11" t="s">
        <v>469</v>
      </c>
      <c r="N5" s="11" t="s">
        <v>470</v>
      </c>
      <c r="O5" s="11" t="s">
        <v>471</v>
      </c>
      <c r="P5" s="11" t="s">
        <v>493</v>
      </c>
    </row>
    <row r="6" customFormat="false" ht="46.25" hidden="false" customHeight="false" outlineLevel="0" collapsed="false">
      <c r="A6" s="11" t="s">
        <v>494</v>
      </c>
      <c r="B6" s="11" t="s">
        <v>462</v>
      </c>
      <c r="C6" s="11" t="s">
        <v>495</v>
      </c>
      <c r="D6" s="11" t="s">
        <v>36</v>
      </c>
      <c r="E6" s="11" t="s">
        <v>102</v>
      </c>
      <c r="F6" s="11" t="s">
        <v>496</v>
      </c>
      <c r="G6" s="11" t="s">
        <v>497</v>
      </c>
      <c r="H6" s="11" t="s">
        <v>498</v>
      </c>
      <c r="I6" s="11" t="s">
        <v>499</v>
      </c>
      <c r="J6" s="11" t="s">
        <v>44</v>
      </c>
      <c r="K6" s="11" t="s">
        <v>44</v>
      </c>
      <c r="L6" s="11" t="s">
        <v>468</v>
      </c>
      <c r="M6" s="11" t="s">
        <v>469</v>
      </c>
      <c r="N6" s="11" t="s">
        <v>470</v>
      </c>
      <c r="O6" s="11" t="s">
        <v>471</v>
      </c>
      <c r="P6" s="11" t="s">
        <v>500</v>
      </c>
    </row>
    <row r="7" customFormat="false" ht="35.05" hidden="false" customHeight="false" outlineLevel="0" collapsed="false">
      <c r="A7" s="11" t="s">
        <v>501</v>
      </c>
      <c r="B7" s="11" t="s">
        <v>462</v>
      </c>
      <c r="C7" s="11" t="s">
        <v>502</v>
      </c>
      <c r="D7" s="11" t="s">
        <v>37</v>
      </c>
      <c r="E7" s="11" t="s">
        <v>108</v>
      </c>
      <c r="F7" s="11" t="s">
        <v>503</v>
      </c>
      <c r="G7" s="11" t="s">
        <v>504</v>
      </c>
      <c r="H7" s="11" t="s">
        <v>505</v>
      </c>
      <c r="I7" s="11" t="s">
        <v>506</v>
      </c>
      <c r="J7" s="11" t="s">
        <v>44</v>
      </c>
      <c r="K7" s="11" t="s">
        <v>45</v>
      </c>
      <c r="L7" s="11" t="s">
        <v>468</v>
      </c>
      <c r="M7" s="11" t="s">
        <v>469</v>
      </c>
      <c r="N7" s="11" t="s">
        <v>470</v>
      </c>
      <c r="O7" s="11" t="s">
        <v>471</v>
      </c>
      <c r="P7" s="11" t="s">
        <v>507</v>
      </c>
    </row>
    <row r="8" customFormat="false" ht="35.05" hidden="false" customHeight="false" outlineLevel="0" collapsed="false">
      <c r="A8" s="11" t="s">
        <v>508</v>
      </c>
      <c r="B8" s="11" t="s">
        <v>462</v>
      </c>
      <c r="C8" s="11" t="s">
        <v>509</v>
      </c>
      <c r="D8" s="11" t="s">
        <v>29</v>
      </c>
      <c r="E8" s="11" t="s">
        <v>71</v>
      </c>
      <c r="F8" s="11" t="s">
        <v>510</v>
      </c>
      <c r="G8" s="11" t="s">
        <v>511</v>
      </c>
      <c r="H8" s="11" t="s">
        <v>512</v>
      </c>
      <c r="I8" s="11" t="s">
        <v>513</v>
      </c>
      <c r="J8" s="11" t="s">
        <v>44</v>
      </c>
      <c r="K8" s="11" t="s">
        <v>44</v>
      </c>
      <c r="L8" s="11" t="s">
        <v>468</v>
      </c>
      <c r="M8" s="11" t="s">
        <v>469</v>
      </c>
      <c r="N8" s="11" t="s">
        <v>470</v>
      </c>
      <c r="O8" s="11" t="s">
        <v>471</v>
      </c>
      <c r="P8" s="11" t="s">
        <v>514</v>
      </c>
    </row>
    <row r="9" customFormat="false" ht="35.05" hidden="false" customHeight="false" outlineLevel="0" collapsed="false">
      <c r="A9" s="11" t="s">
        <v>515</v>
      </c>
      <c r="B9" s="11" t="s">
        <v>462</v>
      </c>
      <c r="C9" s="11" t="s">
        <v>516</v>
      </c>
      <c r="D9" s="11" t="s">
        <v>39</v>
      </c>
      <c r="E9" s="11" t="s">
        <v>114</v>
      </c>
      <c r="F9" s="11" t="s">
        <v>517</v>
      </c>
      <c r="G9" s="11" t="s">
        <v>518</v>
      </c>
      <c r="H9" s="11" t="s">
        <v>519</v>
      </c>
      <c r="I9" s="11" t="s">
        <v>520</v>
      </c>
      <c r="J9" s="11" t="s">
        <v>50</v>
      </c>
      <c r="K9" s="11" t="s">
        <v>44</v>
      </c>
      <c r="L9" s="11" t="s">
        <v>468</v>
      </c>
      <c r="M9" s="11" t="s">
        <v>469</v>
      </c>
      <c r="N9" s="11" t="s">
        <v>470</v>
      </c>
      <c r="O9" s="11" t="s">
        <v>471</v>
      </c>
      <c r="P9" s="11" t="s">
        <v>521</v>
      </c>
    </row>
    <row r="10" customFormat="false" ht="35.05" hidden="false" customHeight="false" outlineLevel="0" collapsed="false">
      <c r="A10" s="11" t="s">
        <v>522</v>
      </c>
      <c r="B10" s="11" t="s">
        <v>462</v>
      </c>
      <c r="C10" s="11" t="s">
        <v>523</v>
      </c>
      <c r="D10" s="11" t="s">
        <v>34</v>
      </c>
      <c r="E10" s="11" t="s">
        <v>94</v>
      </c>
      <c r="F10" s="11" t="s">
        <v>524</v>
      </c>
      <c r="G10" s="11" t="s">
        <v>525</v>
      </c>
      <c r="H10" s="11" t="s">
        <v>526</v>
      </c>
      <c r="I10" s="11" t="s">
        <v>527</v>
      </c>
      <c r="J10" s="11" t="s">
        <v>45</v>
      </c>
      <c r="K10" s="11" t="s">
        <v>45</v>
      </c>
      <c r="L10" s="11" t="s">
        <v>468</v>
      </c>
      <c r="M10" s="11" t="s">
        <v>469</v>
      </c>
      <c r="N10" s="11" t="s">
        <v>470</v>
      </c>
      <c r="O10" s="11" t="s">
        <v>471</v>
      </c>
      <c r="P10" s="11" t="s">
        <v>528</v>
      </c>
    </row>
    <row r="11" customFormat="false" ht="35.05" hidden="false" customHeight="false" outlineLevel="0" collapsed="false">
      <c r="A11" s="11" t="s">
        <v>529</v>
      </c>
      <c r="B11" s="11" t="s">
        <v>462</v>
      </c>
      <c r="C11" s="11" t="s">
        <v>530</v>
      </c>
      <c r="D11" s="11" t="s">
        <v>30</v>
      </c>
      <c r="E11" s="11" t="s">
        <v>74</v>
      </c>
      <c r="F11" s="11" t="s">
        <v>531</v>
      </c>
      <c r="G11" s="11" t="s">
        <v>532</v>
      </c>
      <c r="H11" s="11" t="s">
        <v>533</v>
      </c>
      <c r="I11" s="11" t="s">
        <v>534</v>
      </c>
      <c r="J11" s="11" t="s">
        <v>46</v>
      </c>
      <c r="K11" s="11" t="s">
        <v>44</v>
      </c>
      <c r="L11" s="11" t="s">
        <v>468</v>
      </c>
      <c r="M11" s="11" t="s">
        <v>469</v>
      </c>
      <c r="N11" s="11" t="s">
        <v>470</v>
      </c>
      <c r="O11" s="11" t="s">
        <v>471</v>
      </c>
      <c r="P11" s="11" t="s">
        <v>535</v>
      </c>
    </row>
    <row r="12" customFormat="false" ht="15" hidden="false" customHeight="false" outlineLevel="0" collapsed="false">
      <c r="A12" s="12"/>
      <c r="B12" s="12" t="s">
        <v>536</v>
      </c>
      <c r="C12" s="12"/>
      <c r="D12" s="12"/>
      <c r="E12" s="12"/>
      <c r="F12" s="12"/>
      <c r="G12" s="12"/>
      <c r="H12" s="12"/>
      <c r="I12" s="12"/>
      <c r="J12" s="12"/>
      <c r="K12" s="12"/>
      <c r="L12" s="12"/>
      <c r="M12" s="12"/>
      <c r="N12" s="12"/>
      <c r="O12" s="12"/>
      <c r="P12" s="12"/>
    </row>
    <row r="13" customFormat="false" ht="15" hidden="false" customHeight="false" outlineLevel="0" collapsed="false">
      <c r="A13" s="12"/>
      <c r="B13" s="12" t="s">
        <v>536</v>
      </c>
      <c r="C13" s="12"/>
      <c r="D13" s="12"/>
      <c r="E13" s="12"/>
      <c r="F13" s="12"/>
      <c r="G13" s="12"/>
      <c r="H13" s="12"/>
      <c r="I13" s="12"/>
      <c r="J13" s="12"/>
      <c r="K13" s="12"/>
      <c r="L13" s="12"/>
      <c r="M13" s="12"/>
      <c r="N13" s="12"/>
      <c r="O13" s="12"/>
      <c r="P13" s="12"/>
    </row>
    <row r="14" customFormat="false" ht="15" hidden="false" customHeight="false" outlineLevel="0" collapsed="false">
      <c r="A14" s="12"/>
      <c r="B14" s="12" t="s">
        <v>536</v>
      </c>
      <c r="C14" s="12"/>
      <c r="D14" s="12"/>
      <c r="E14" s="12"/>
      <c r="F14" s="12"/>
      <c r="G14" s="12"/>
      <c r="H14" s="12"/>
      <c r="I14" s="12"/>
      <c r="J14" s="12"/>
      <c r="K14" s="12"/>
      <c r="L14" s="12"/>
      <c r="M14" s="12"/>
      <c r="N14" s="12"/>
      <c r="O14" s="12"/>
      <c r="P14" s="12"/>
    </row>
    <row r="15" customFormat="false" ht="15" hidden="false" customHeight="false" outlineLevel="0" collapsed="false">
      <c r="A15" s="12"/>
      <c r="B15" s="12" t="s">
        <v>536</v>
      </c>
      <c r="C15" s="12"/>
      <c r="D15" s="12"/>
      <c r="E15" s="12"/>
      <c r="F15" s="12"/>
      <c r="G15" s="12"/>
      <c r="H15" s="12"/>
      <c r="I15" s="12"/>
      <c r="J15" s="12"/>
      <c r="K15" s="12"/>
      <c r="L15" s="12"/>
      <c r="M15" s="12"/>
      <c r="N15" s="12"/>
      <c r="O15" s="12"/>
      <c r="P15" s="12"/>
    </row>
    <row r="16" customFormat="false" ht="15" hidden="false" customHeight="false" outlineLevel="0" collapsed="false">
      <c r="A16" s="12"/>
      <c r="B16" s="12" t="s">
        <v>536</v>
      </c>
      <c r="C16" s="12"/>
      <c r="D16" s="12"/>
      <c r="E16" s="12"/>
      <c r="F16" s="12"/>
      <c r="G16" s="12"/>
      <c r="H16" s="12"/>
      <c r="I16" s="12"/>
      <c r="J16" s="12"/>
      <c r="K16" s="12"/>
      <c r="L16" s="12"/>
      <c r="M16" s="12"/>
      <c r="N16" s="12"/>
      <c r="O16" s="12"/>
      <c r="P16" s="12"/>
    </row>
    <row r="17" customFormat="false" ht="15" hidden="false" customHeight="false" outlineLevel="0" collapsed="false">
      <c r="A17" s="12"/>
      <c r="B17" s="12" t="s">
        <v>536</v>
      </c>
      <c r="C17" s="12"/>
      <c r="D17" s="12"/>
      <c r="E17" s="12"/>
      <c r="F17" s="12"/>
      <c r="G17" s="12"/>
      <c r="H17" s="12"/>
      <c r="I17" s="12"/>
      <c r="J17" s="12"/>
      <c r="K17" s="12"/>
      <c r="L17" s="12"/>
      <c r="M17" s="12"/>
      <c r="N17" s="12"/>
      <c r="O17" s="12"/>
      <c r="P17" s="12"/>
    </row>
    <row r="18" customFormat="false" ht="15" hidden="false" customHeight="false" outlineLevel="0" collapsed="false">
      <c r="A18" s="12"/>
      <c r="B18" s="12" t="s">
        <v>536</v>
      </c>
      <c r="C18" s="12"/>
      <c r="D18" s="12"/>
      <c r="E18" s="12"/>
      <c r="F18" s="12"/>
      <c r="G18" s="12"/>
      <c r="H18" s="12"/>
      <c r="I18" s="12"/>
      <c r="J18" s="12"/>
      <c r="K18" s="12"/>
      <c r="L18" s="12"/>
      <c r="M18" s="12"/>
      <c r="N18" s="12"/>
      <c r="O18" s="12"/>
      <c r="P18" s="12"/>
    </row>
    <row r="19" customFormat="false" ht="15" hidden="false" customHeight="false" outlineLevel="0" collapsed="false">
      <c r="A19" s="12"/>
      <c r="B19" s="12" t="s">
        <v>536</v>
      </c>
      <c r="C19" s="12"/>
      <c r="D19" s="12"/>
      <c r="E19" s="12"/>
      <c r="F19" s="12"/>
      <c r="G19" s="12"/>
      <c r="H19" s="12"/>
      <c r="I19" s="12"/>
      <c r="J19" s="12"/>
      <c r="K19" s="12"/>
      <c r="L19" s="12"/>
      <c r="M19" s="12"/>
      <c r="N19" s="12"/>
      <c r="O19" s="12"/>
      <c r="P19" s="12"/>
    </row>
    <row r="20" customFormat="false" ht="15" hidden="false" customHeight="false" outlineLevel="0" collapsed="false">
      <c r="A20" s="12"/>
      <c r="B20" s="12" t="s">
        <v>536</v>
      </c>
      <c r="C20" s="12"/>
      <c r="D20" s="12"/>
      <c r="E20" s="12"/>
      <c r="F20" s="12"/>
      <c r="G20" s="12"/>
      <c r="H20" s="12"/>
      <c r="I20" s="12"/>
      <c r="J20" s="12"/>
      <c r="K20" s="12"/>
      <c r="L20" s="12"/>
      <c r="M20" s="12"/>
      <c r="N20" s="12"/>
      <c r="O20" s="12"/>
      <c r="P20" s="12"/>
    </row>
    <row r="21" customFormat="false" ht="15" hidden="false" customHeight="false" outlineLevel="0" collapsed="false">
      <c r="A21" s="12"/>
      <c r="B21" s="12" t="s">
        <v>536</v>
      </c>
      <c r="C21" s="12"/>
      <c r="D21" s="12"/>
      <c r="E21" s="12"/>
      <c r="F21" s="12"/>
      <c r="G21" s="12"/>
      <c r="H21" s="12"/>
      <c r="I21" s="12"/>
      <c r="J21" s="12"/>
      <c r="K21" s="12"/>
      <c r="L21" s="12"/>
      <c r="M21" s="12"/>
      <c r="N21" s="12"/>
      <c r="O21" s="12"/>
      <c r="P21" s="12"/>
    </row>
    <row r="22" customFormat="false" ht="15" hidden="false" customHeight="false" outlineLevel="0" collapsed="false">
      <c r="A22" s="12"/>
      <c r="B22" s="12" t="s">
        <v>536</v>
      </c>
      <c r="C22" s="12"/>
      <c r="D22" s="12"/>
      <c r="E22" s="12"/>
      <c r="F22" s="12"/>
      <c r="G22" s="12"/>
      <c r="H22" s="12"/>
      <c r="I22" s="12"/>
      <c r="J22" s="12"/>
      <c r="K22" s="12"/>
      <c r="L22" s="12"/>
      <c r="M22" s="12"/>
      <c r="N22" s="12"/>
      <c r="O22" s="12"/>
      <c r="P22" s="12"/>
    </row>
    <row r="23" customFormat="false" ht="15" hidden="false" customHeight="false" outlineLevel="0" collapsed="false">
      <c r="A23" s="12"/>
      <c r="B23" s="12" t="s">
        <v>536</v>
      </c>
      <c r="C23" s="12"/>
      <c r="D23" s="12"/>
      <c r="E23" s="12"/>
      <c r="F23" s="12"/>
      <c r="G23" s="12"/>
      <c r="H23" s="12"/>
      <c r="I23" s="12"/>
      <c r="J23" s="12"/>
      <c r="K23" s="12"/>
      <c r="L23" s="12"/>
      <c r="M23" s="12"/>
      <c r="N23" s="12"/>
      <c r="O23" s="12"/>
      <c r="P23" s="12"/>
    </row>
    <row r="24" customFormat="false" ht="15" hidden="false" customHeight="false" outlineLevel="0" collapsed="false">
      <c r="A24" s="12"/>
      <c r="B24" s="12" t="s">
        <v>536</v>
      </c>
      <c r="C24" s="12"/>
      <c r="D24" s="12"/>
      <c r="E24" s="12"/>
      <c r="F24" s="12"/>
      <c r="G24" s="12"/>
      <c r="H24" s="12"/>
      <c r="I24" s="12"/>
      <c r="J24" s="12"/>
      <c r="K24" s="12"/>
      <c r="L24" s="12"/>
      <c r="M24" s="12"/>
      <c r="N24" s="12"/>
      <c r="O24" s="12"/>
      <c r="P24" s="12"/>
    </row>
    <row r="25" customFormat="false" ht="15" hidden="false" customHeight="false" outlineLevel="0" collapsed="false">
      <c r="A25" s="12"/>
      <c r="B25" s="12" t="s">
        <v>536</v>
      </c>
      <c r="C25" s="12"/>
      <c r="D25" s="12"/>
      <c r="E25" s="12"/>
      <c r="F25" s="12"/>
      <c r="G25" s="12"/>
      <c r="H25" s="12"/>
      <c r="I25" s="12"/>
      <c r="J25" s="12"/>
      <c r="K25" s="12"/>
      <c r="L25" s="12"/>
      <c r="M25" s="12"/>
      <c r="N25" s="12"/>
      <c r="O25" s="12"/>
      <c r="P25" s="12"/>
    </row>
    <row r="26" customFormat="false" ht="15" hidden="false" customHeight="false" outlineLevel="0" collapsed="false">
      <c r="A26" s="12"/>
      <c r="B26" s="12" t="s">
        <v>536</v>
      </c>
      <c r="C26" s="12"/>
      <c r="D26" s="12"/>
      <c r="E26" s="12"/>
      <c r="F26" s="12"/>
      <c r="G26" s="12"/>
      <c r="H26" s="12"/>
      <c r="I26" s="12"/>
      <c r="J26" s="12"/>
      <c r="K26" s="12"/>
      <c r="L26" s="12"/>
      <c r="M26" s="12"/>
      <c r="N26" s="12"/>
      <c r="O26" s="12"/>
      <c r="P26" s="12"/>
    </row>
    <row r="27" customFormat="false" ht="15" hidden="false" customHeight="false" outlineLevel="0" collapsed="false">
      <c r="A27" s="12"/>
      <c r="B27" s="12" t="s">
        <v>536</v>
      </c>
      <c r="C27" s="12"/>
      <c r="D27" s="12"/>
      <c r="E27" s="12"/>
      <c r="F27" s="12"/>
      <c r="G27" s="12"/>
      <c r="H27" s="12"/>
      <c r="I27" s="12"/>
      <c r="J27" s="12"/>
      <c r="K27" s="12"/>
      <c r="L27" s="12"/>
      <c r="M27" s="12"/>
      <c r="N27" s="12"/>
      <c r="O27" s="12"/>
      <c r="P27" s="12"/>
    </row>
    <row r="28" customFormat="false" ht="15" hidden="false" customHeight="false" outlineLevel="0" collapsed="false">
      <c r="A28" s="12"/>
      <c r="B28" s="12" t="s">
        <v>536</v>
      </c>
      <c r="C28" s="12"/>
      <c r="D28" s="12"/>
      <c r="E28" s="12"/>
      <c r="F28" s="12"/>
      <c r="G28" s="12"/>
      <c r="H28" s="12"/>
      <c r="I28" s="12"/>
      <c r="J28" s="12"/>
      <c r="K28" s="12"/>
      <c r="L28" s="12"/>
      <c r="M28" s="12"/>
      <c r="N28" s="12"/>
      <c r="O28" s="12"/>
      <c r="P28" s="12"/>
    </row>
    <row r="29" customFormat="false" ht="15" hidden="false" customHeight="false" outlineLevel="0" collapsed="false">
      <c r="A29" s="12"/>
      <c r="B29" s="12" t="s">
        <v>536</v>
      </c>
      <c r="C29" s="12"/>
      <c r="D29" s="12"/>
      <c r="E29" s="12"/>
      <c r="F29" s="12"/>
      <c r="G29" s="12"/>
      <c r="H29" s="12"/>
      <c r="I29" s="12"/>
      <c r="J29" s="12"/>
      <c r="K29" s="12"/>
      <c r="L29" s="12"/>
      <c r="M29" s="12"/>
      <c r="N29" s="12"/>
      <c r="O29" s="12"/>
      <c r="P29" s="12"/>
    </row>
    <row r="30" customFormat="false" ht="15" hidden="false" customHeight="false" outlineLevel="0" collapsed="false">
      <c r="A30" s="12"/>
      <c r="B30" s="12" t="s">
        <v>536</v>
      </c>
      <c r="C30" s="12"/>
      <c r="D30" s="12"/>
      <c r="E30" s="12"/>
      <c r="F30" s="12"/>
      <c r="G30" s="12"/>
      <c r="H30" s="12"/>
      <c r="I30" s="12"/>
      <c r="J30" s="12"/>
      <c r="K30" s="12"/>
      <c r="L30" s="12"/>
      <c r="M30" s="12"/>
      <c r="N30" s="12"/>
      <c r="O30" s="12"/>
      <c r="P30" s="12"/>
    </row>
    <row r="31" customFormat="false" ht="15" hidden="false" customHeight="false" outlineLevel="0" collapsed="false">
      <c r="A31" s="12"/>
      <c r="B31" s="12" t="s">
        <v>536</v>
      </c>
      <c r="C31" s="12"/>
      <c r="D31" s="12"/>
      <c r="E31" s="12"/>
      <c r="F31" s="12"/>
      <c r="G31" s="12"/>
      <c r="H31" s="12"/>
      <c r="I31" s="12"/>
      <c r="J31" s="12"/>
      <c r="K31" s="12"/>
      <c r="L31" s="12"/>
      <c r="M31" s="12"/>
      <c r="N31" s="12"/>
      <c r="O31" s="12"/>
      <c r="P31" s="12"/>
    </row>
    <row r="32" customFormat="false" ht="15" hidden="false" customHeight="false" outlineLevel="0" collapsed="false">
      <c r="A32" s="12"/>
      <c r="B32" s="12" t="s">
        <v>536</v>
      </c>
      <c r="C32" s="12"/>
      <c r="D32" s="12"/>
      <c r="E32" s="12"/>
      <c r="F32" s="12"/>
      <c r="G32" s="12"/>
      <c r="H32" s="12"/>
      <c r="I32" s="12"/>
      <c r="J32" s="12"/>
      <c r="K32" s="12"/>
      <c r="L32" s="12"/>
      <c r="M32" s="12"/>
      <c r="N32" s="12"/>
      <c r="O32" s="12"/>
      <c r="P32" s="12"/>
    </row>
    <row r="33" customFormat="false" ht="15" hidden="false" customHeight="false" outlineLevel="0" collapsed="false">
      <c r="A33" s="12"/>
      <c r="B33" s="12" t="s">
        <v>536</v>
      </c>
      <c r="C33" s="12"/>
      <c r="D33" s="12"/>
      <c r="E33" s="12"/>
      <c r="F33" s="12"/>
      <c r="G33" s="12"/>
      <c r="H33" s="12"/>
      <c r="I33" s="12"/>
      <c r="J33" s="12"/>
      <c r="K33" s="12"/>
      <c r="L33" s="12"/>
      <c r="M33" s="12"/>
      <c r="N33" s="12"/>
      <c r="O33" s="12"/>
      <c r="P33" s="12"/>
    </row>
    <row r="34" customFormat="false" ht="15" hidden="false" customHeight="false" outlineLevel="0" collapsed="false">
      <c r="A34" s="12"/>
      <c r="B34" s="12" t="s">
        <v>536</v>
      </c>
      <c r="C34" s="12"/>
      <c r="D34" s="12"/>
      <c r="E34" s="12"/>
      <c r="F34" s="12"/>
      <c r="G34" s="12"/>
      <c r="H34" s="12"/>
      <c r="I34" s="12"/>
      <c r="J34" s="12"/>
      <c r="K34" s="12"/>
      <c r="L34" s="12"/>
      <c r="M34" s="12"/>
      <c r="N34" s="12"/>
      <c r="O34" s="12"/>
      <c r="P34" s="12"/>
    </row>
    <row r="35" customFormat="false" ht="15" hidden="false" customHeight="false" outlineLevel="0" collapsed="false">
      <c r="A35" s="12"/>
      <c r="B35" s="12" t="s">
        <v>536</v>
      </c>
      <c r="C35" s="12"/>
      <c r="D35" s="12"/>
      <c r="E35" s="12"/>
      <c r="F35" s="12"/>
      <c r="G35" s="12"/>
      <c r="H35" s="12"/>
      <c r="I35" s="12"/>
      <c r="J35" s="12"/>
      <c r="K35" s="12"/>
      <c r="L35" s="12"/>
      <c r="M35" s="12"/>
      <c r="N35" s="12"/>
      <c r="O35" s="12"/>
      <c r="P35" s="12"/>
    </row>
    <row r="36" customFormat="false" ht="15" hidden="false" customHeight="false" outlineLevel="0" collapsed="false">
      <c r="A36" s="12"/>
      <c r="B36" s="12" t="s">
        <v>536</v>
      </c>
      <c r="C36" s="12"/>
      <c r="D36" s="12"/>
      <c r="E36" s="12"/>
      <c r="F36" s="12"/>
      <c r="G36" s="12"/>
      <c r="H36" s="12"/>
      <c r="I36" s="12"/>
      <c r="J36" s="12"/>
      <c r="K36" s="12"/>
      <c r="L36" s="12"/>
      <c r="M36" s="12"/>
      <c r="N36" s="12"/>
      <c r="O36" s="12"/>
      <c r="P36" s="12"/>
    </row>
    <row r="37" customFormat="false" ht="15" hidden="false" customHeight="false" outlineLevel="0" collapsed="false">
      <c r="A37" s="12"/>
      <c r="B37" s="12" t="s">
        <v>536</v>
      </c>
      <c r="C37" s="12"/>
      <c r="D37" s="12"/>
      <c r="E37" s="12"/>
      <c r="F37" s="12"/>
      <c r="G37" s="12"/>
      <c r="H37" s="12"/>
      <c r="I37" s="12"/>
      <c r="J37" s="12"/>
      <c r="K37" s="12"/>
      <c r="L37" s="12"/>
      <c r="M37" s="12"/>
      <c r="N37" s="12"/>
      <c r="O37" s="12"/>
      <c r="P37" s="12"/>
    </row>
    <row r="38" customFormat="false" ht="15" hidden="false" customHeight="false" outlineLevel="0" collapsed="false">
      <c r="A38" s="12"/>
      <c r="B38" s="12" t="s">
        <v>536</v>
      </c>
      <c r="C38" s="12"/>
      <c r="D38" s="12"/>
      <c r="E38" s="12"/>
      <c r="F38" s="12"/>
      <c r="G38" s="12"/>
      <c r="H38" s="12"/>
      <c r="I38" s="12"/>
      <c r="J38" s="12"/>
      <c r="K38" s="12"/>
      <c r="L38" s="12"/>
      <c r="M38" s="12"/>
      <c r="N38" s="12"/>
      <c r="O38" s="12"/>
      <c r="P38" s="12"/>
    </row>
    <row r="39" customFormat="false" ht="15" hidden="false" customHeight="false" outlineLevel="0" collapsed="false">
      <c r="A39" s="12"/>
      <c r="B39" s="12" t="s">
        <v>536</v>
      </c>
      <c r="C39" s="12"/>
      <c r="D39" s="12"/>
      <c r="E39" s="12"/>
      <c r="F39" s="12"/>
      <c r="G39" s="12"/>
      <c r="H39" s="12"/>
      <c r="I39" s="12"/>
      <c r="J39" s="12"/>
      <c r="K39" s="12"/>
      <c r="L39" s="12"/>
      <c r="M39" s="12"/>
      <c r="N39" s="12"/>
      <c r="O39" s="12"/>
      <c r="P39" s="12"/>
    </row>
    <row r="40" customFormat="false" ht="15" hidden="false" customHeight="false" outlineLevel="0" collapsed="false">
      <c r="A40" s="12"/>
      <c r="B40" s="12" t="s">
        <v>536</v>
      </c>
      <c r="C40" s="12"/>
      <c r="D40" s="12"/>
      <c r="E40" s="12"/>
      <c r="F40" s="12"/>
      <c r="G40" s="12"/>
      <c r="H40" s="12"/>
      <c r="I40" s="12"/>
      <c r="J40" s="12"/>
      <c r="K40" s="12"/>
      <c r="L40" s="12"/>
      <c r="M40" s="12"/>
      <c r="N40" s="12"/>
      <c r="O40" s="12"/>
      <c r="P40" s="12"/>
    </row>
    <row r="41" customFormat="false" ht="15" hidden="false" customHeight="false" outlineLevel="0" collapsed="false">
      <c r="A41" s="12"/>
      <c r="B41" s="12" t="s">
        <v>536</v>
      </c>
      <c r="C41" s="12"/>
      <c r="D41" s="12"/>
      <c r="E41" s="12"/>
      <c r="F41" s="12"/>
      <c r="G41" s="12"/>
      <c r="H41" s="12"/>
      <c r="I41" s="12"/>
      <c r="J41" s="12"/>
      <c r="K41" s="12"/>
      <c r="L41" s="12"/>
      <c r="M41" s="12"/>
      <c r="N41" s="12"/>
      <c r="O41" s="12"/>
      <c r="P41" s="12"/>
    </row>
  </sheetData>
  <autoFilter ref="A1:P41"/>
  <dataValidations count="4">
    <dataValidation allowBlank="false" errorStyle="stop" operator="between" showDropDown="false" showErrorMessage="false" showInputMessage="false" sqref="J2:J41" type="list">
      <formula1>"Critical,High,Medium,Low"</formula1>
      <formula2>0</formula2>
    </dataValidation>
    <dataValidation allowBlank="false" errorStyle="stop" operator="between" showDropDown="false" showErrorMessage="false" showInputMessage="false" sqref="K2:K41" type="list">
      <formula1>"High,Medium,Low"</formula1>
      <formula2>0</formula2>
    </dataValidation>
    <dataValidation allowBlank="false" errorStyle="stop" operator="between" showDropDown="false" showErrorMessage="false" showInputMessage="false" sqref="B2:B41" type="list">
      <formula1>"SAMPLE,ACTUAL"</formula1>
      <formula2>0</formula2>
    </dataValidation>
    <dataValidation allowBlank="false" errorStyle="stop" operator="between" showDropDown="false" showErrorMessage="false" showInputMessage="false" sqref="M2:M41" type="list">
      <formula1>"New,Assigned,Fixed,Retest,Closed,Reopened,Rejected,Duplicate,Deferred"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3"/>
    <col collapsed="false" customWidth="true" hidden="false" outlineLevel="0" max="3" min="3" style="0" width="40"/>
    <col collapsed="false" customWidth="true" hidden="false" outlineLevel="0" max="4" min="4" style="0" width="34"/>
    <col collapsed="false" customWidth="true" hidden="false" outlineLevel="0" max="5" min="5" style="0" width="26"/>
    <col collapsed="false" customWidth="true" hidden="false" outlineLevel="0" max="6" min="6" style="0" width="60"/>
    <col collapsed="false" customWidth="true" hidden="false" outlineLevel="0" max="7" min="7" style="0" width="16"/>
  </cols>
  <sheetData>
    <row r="1" customFormat="false" ht="23.85" hidden="false" customHeight="false" outlineLevel="0" collapsed="false">
      <c r="A1" s="10" t="s">
        <v>537</v>
      </c>
      <c r="B1" s="10" t="s">
        <v>538</v>
      </c>
      <c r="C1" s="10" t="s">
        <v>539</v>
      </c>
      <c r="D1" s="10" t="s">
        <v>540</v>
      </c>
      <c r="E1" s="10" t="s">
        <v>541</v>
      </c>
      <c r="F1" s="10" t="s">
        <v>542</v>
      </c>
      <c r="G1" s="10" t="s">
        <v>543</v>
      </c>
    </row>
    <row r="2" customFormat="false" ht="23.85" hidden="false" customHeight="false" outlineLevel="0" collapsed="false">
      <c r="A2" s="11" t="s">
        <v>544</v>
      </c>
      <c r="B2" s="11" t="s">
        <v>58</v>
      </c>
      <c r="C2" s="11" t="s">
        <v>132</v>
      </c>
      <c r="D2" s="11" t="s">
        <v>545</v>
      </c>
      <c r="E2" s="11" t="s">
        <v>546</v>
      </c>
      <c r="F2" s="11" t="s">
        <v>547</v>
      </c>
      <c r="G2" s="11" t="str">
        <f aca="false">INDEX('Execution Tracker'!$D$2:$D$68,MATCH(B2,'Execution Tracker'!$A$2:$A$68,0))</f>
        <v>Not Executed</v>
      </c>
    </row>
    <row r="3" customFormat="false" ht="15" hidden="false" customHeight="false" outlineLevel="0" collapsed="false">
      <c r="A3" s="11" t="s">
        <v>548</v>
      </c>
      <c r="B3" s="11" t="s">
        <v>59</v>
      </c>
      <c r="C3" s="11" t="s">
        <v>138</v>
      </c>
      <c r="D3" s="11" t="s">
        <v>545</v>
      </c>
      <c r="E3" s="11" t="s">
        <v>549</v>
      </c>
      <c r="F3" s="11" t="s">
        <v>550</v>
      </c>
      <c r="G3" s="11" t="str">
        <f aca="false">INDEX('Execution Tracker'!$D$2:$D$68,MATCH(B3,'Execution Tracker'!$A$2:$A$68,0))</f>
        <v>Not Executed</v>
      </c>
    </row>
    <row r="4" customFormat="false" ht="23.85" hidden="false" customHeight="false" outlineLevel="0" collapsed="false">
      <c r="A4" s="11" t="s">
        <v>548</v>
      </c>
      <c r="B4" s="11" t="s">
        <v>60</v>
      </c>
      <c r="C4" s="11" t="s">
        <v>144</v>
      </c>
      <c r="D4" s="11" t="s">
        <v>545</v>
      </c>
      <c r="E4" s="11" t="s">
        <v>551</v>
      </c>
      <c r="F4" s="11" t="s">
        <v>552</v>
      </c>
      <c r="G4" s="11" t="str">
        <f aca="false">INDEX('Execution Tracker'!$D$2:$D$68,MATCH(B4,'Execution Tracker'!$A$2:$A$68,0))</f>
        <v>Not Executed</v>
      </c>
    </row>
    <row r="5" customFormat="false" ht="15" hidden="false" customHeight="false" outlineLevel="0" collapsed="false">
      <c r="A5" s="11" t="s">
        <v>548</v>
      </c>
      <c r="B5" s="11" t="s">
        <v>61</v>
      </c>
      <c r="C5" s="11" t="s">
        <v>149</v>
      </c>
      <c r="D5" s="11" t="s">
        <v>545</v>
      </c>
      <c r="E5" s="11" t="s">
        <v>553</v>
      </c>
      <c r="F5" s="11" t="s">
        <v>554</v>
      </c>
      <c r="G5" s="11" t="str">
        <f aca="false">INDEX('Execution Tracker'!$D$2:$D$68,MATCH(B5,'Execution Tracker'!$A$2:$A$68,0))</f>
        <v>Not Executed</v>
      </c>
    </row>
    <row r="6" customFormat="false" ht="15" hidden="false" customHeight="false" outlineLevel="0" collapsed="false">
      <c r="A6" s="11" t="s">
        <v>555</v>
      </c>
      <c r="B6" s="11" t="s">
        <v>62</v>
      </c>
      <c r="C6" s="11" t="s">
        <v>155</v>
      </c>
      <c r="D6" s="11" t="s">
        <v>545</v>
      </c>
      <c r="E6" s="11" t="s">
        <v>556</v>
      </c>
      <c r="F6" s="11" t="s">
        <v>557</v>
      </c>
      <c r="G6" s="11" t="str">
        <f aca="false">INDEX('Execution Tracker'!$D$2:$D$68,MATCH(B6,'Execution Tracker'!$A$2:$A$68,0))</f>
        <v>Not Executed</v>
      </c>
    </row>
    <row r="7" customFormat="false" ht="15" hidden="false" customHeight="false" outlineLevel="0" collapsed="false">
      <c r="A7" s="11" t="s">
        <v>558</v>
      </c>
      <c r="B7" s="11" t="s">
        <v>63</v>
      </c>
      <c r="C7" s="11" t="s">
        <v>159</v>
      </c>
      <c r="D7" s="11" t="s">
        <v>545</v>
      </c>
      <c r="E7" s="11" t="s">
        <v>559</v>
      </c>
      <c r="F7" s="11" t="s">
        <v>560</v>
      </c>
      <c r="G7" s="11" t="str">
        <f aca="false">INDEX('Execution Tracker'!$D$2:$D$68,MATCH(B7,'Execution Tracker'!$A$2:$A$68,0))</f>
        <v>Not Executed</v>
      </c>
    </row>
    <row r="8" customFormat="false" ht="15" hidden="false" customHeight="false" outlineLevel="0" collapsed="false">
      <c r="A8" s="11" t="s">
        <v>558</v>
      </c>
      <c r="B8" s="11" t="s">
        <v>64</v>
      </c>
      <c r="C8" s="11" t="s">
        <v>163</v>
      </c>
      <c r="D8" s="11" t="s">
        <v>545</v>
      </c>
      <c r="E8" s="11" t="s">
        <v>559</v>
      </c>
      <c r="F8" s="11" t="s">
        <v>561</v>
      </c>
      <c r="G8" s="11" t="str">
        <f aca="false">INDEX('Execution Tracker'!$D$2:$D$68,MATCH(B8,'Execution Tracker'!$A$2:$A$68,0))</f>
        <v>Not Executed</v>
      </c>
    </row>
    <row r="9" customFormat="false" ht="15" hidden="false" customHeight="false" outlineLevel="0" collapsed="false">
      <c r="A9" s="11" t="s">
        <v>558</v>
      </c>
      <c r="B9" s="11" t="s">
        <v>65</v>
      </c>
      <c r="C9" s="11" t="s">
        <v>168</v>
      </c>
      <c r="D9" s="11" t="s">
        <v>545</v>
      </c>
      <c r="E9" s="11" t="s">
        <v>559</v>
      </c>
      <c r="F9" s="11" t="s">
        <v>562</v>
      </c>
      <c r="G9" s="11" t="str">
        <f aca="false">INDEX('Execution Tracker'!$D$2:$D$68,MATCH(B9,'Execution Tracker'!$A$2:$A$68,0))</f>
        <v>Not Executed</v>
      </c>
    </row>
    <row r="10" customFormat="false" ht="15" hidden="false" customHeight="false" outlineLevel="0" collapsed="false">
      <c r="A10" s="11" t="s">
        <v>548</v>
      </c>
      <c r="B10" s="11" t="s">
        <v>66</v>
      </c>
      <c r="C10" s="11" t="s">
        <v>172</v>
      </c>
      <c r="D10" s="11" t="s">
        <v>545</v>
      </c>
      <c r="E10" s="11" t="s">
        <v>556</v>
      </c>
      <c r="F10" s="11" t="s">
        <v>563</v>
      </c>
      <c r="G10" s="11" t="str">
        <f aca="false">INDEX('Execution Tracker'!$D$2:$D$68,MATCH(B10,'Execution Tracker'!$A$2:$A$68,0))</f>
        <v>Not Executed</v>
      </c>
    </row>
    <row r="11" customFormat="false" ht="15" hidden="false" customHeight="false" outlineLevel="0" collapsed="false">
      <c r="A11" s="11" t="s">
        <v>564</v>
      </c>
      <c r="B11" s="11" t="s">
        <v>67</v>
      </c>
      <c r="C11" s="11" t="s">
        <v>176</v>
      </c>
      <c r="D11" s="11" t="s">
        <v>545</v>
      </c>
      <c r="E11" s="11" t="s">
        <v>514</v>
      </c>
      <c r="F11" s="11" t="s">
        <v>565</v>
      </c>
      <c r="G11" s="11" t="str">
        <f aca="false">INDEX('Execution Tracker'!$D$2:$D$68,MATCH(B11,'Execution Tracker'!$A$2:$A$68,0))</f>
        <v>Not Executed</v>
      </c>
    </row>
    <row r="12" customFormat="false" ht="15" hidden="false" customHeight="false" outlineLevel="0" collapsed="false">
      <c r="A12" s="11" t="s">
        <v>566</v>
      </c>
      <c r="B12" s="11" t="s">
        <v>68</v>
      </c>
      <c r="C12" s="11" t="s">
        <v>181</v>
      </c>
      <c r="D12" s="11" t="s">
        <v>545</v>
      </c>
      <c r="E12" s="11" t="s">
        <v>514</v>
      </c>
      <c r="F12" s="11" t="s">
        <v>567</v>
      </c>
      <c r="G12" s="11" t="str">
        <f aca="false">INDEX('Execution Tracker'!$D$2:$D$68,MATCH(B12,'Execution Tracker'!$A$2:$A$68,0))</f>
        <v>Not Executed</v>
      </c>
    </row>
    <row r="13" customFormat="false" ht="15" hidden="false" customHeight="false" outlineLevel="0" collapsed="false">
      <c r="A13" s="11" t="s">
        <v>564</v>
      </c>
      <c r="B13" s="11" t="s">
        <v>69</v>
      </c>
      <c r="C13" s="11" t="s">
        <v>185</v>
      </c>
      <c r="D13" s="11" t="s">
        <v>545</v>
      </c>
      <c r="E13" s="11" t="s">
        <v>559</v>
      </c>
      <c r="F13" s="11" t="s">
        <v>568</v>
      </c>
      <c r="G13" s="11" t="str">
        <f aca="false">INDEX('Execution Tracker'!$D$2:$D$68,MATCH(B13,'Execution Tracker'!$A$2:$A$68,0))</f>
        <v>Not Executed</v>
      </c>
    </row>
    <row r="14" customFormat="false" ht="15" hidden="false" customHeight="false" outlineLevel="0" collapsed="false">
      <c r="A14" s="11" t="s">
        <v>564</v>
      </c>
      <c r="B14" s="11" t="s">
        <v>70</v>
      </c>
      <c r="C14" s="11" t="s">
        <v>190</v>
      </c>
      <c r="D14" s="11" t="s">
        <v>545</v>
      </c>
      <c r="E14" s="11" t="s">
        <v>514</v>
      </c>
      <c r="F14" s="11" t="s">
        <v>569</v>
      </c>
      <c r="G14" s="11" t="str">
        <f aca="false">INDEX('Execution Tracker'!$D$2:$D$68,MATCH(B14,'Execution Tracker'!$A$2:$A$68,0))</f>
        <v>Not Executed</v>
      </c>
    </row>
    <row r="15" customFormat="false" ht="23.85" hidden="false" customHeight="false" outlineLevel="0" collapsed="false">
      <c r="A15" s="11" t="s">
        <v>566</v>
      </c>
      <c r="B15" s="11" t="s">
        <v>71</v>
      </c>
      <c r="C15" s="11" t="s">
        <v>195</v>
      </c>
      <c r="D15" s="11" t="s">
        <v>545</v>
      </c>
      <c r="E15" s="11" t="s">
        <v>514</v>
      </c>
      <c r="F15" s="11" t="s">
        <v>570</v>
      </c>
      <c r="G15" s="11" t="str">
        <f aca="false">INDEX('Execution Tracker'!$D$2:$D$68,MATCH(B15,'Execution Tracker'!$A$2:$A$68,0))</f>
        <v>Not Executed</v>
      </c>
    </row>
    <row r="16" customFormat="false" ht="15" hidden="false" customHeight="false" outlineLevel="0" collapsed="false">
      <c r="A16" s="11" t="s">
        <v>566</v>
      </c>
      <c r="B16" s="11" t="s">
        <v>72</v>
      </c>
      <c r="C16" s="11" t="s">
        <v>200</v>
      </c>
      <c r="D16" s="11" t="s">
        <v>545</v>
      </c>
      <c r="E16" s="11" t="s">
        <v>514</v>
      </c>
      <c r="F16" s="11" t="s">
        <v>571</v>
      </c>
      <c r="G16" s="11" t="str">
        <f aca="false">INDEX('Execution Tracker'!$D$2:$D$68,MATCH(B16,'Execution Tracker'!$A$2:$A$68,0))</f>
        <v>Not Executed</v>
      </c>
    </row>
    <row r="17" customFormat="false" ht="15" hidden="false" customHeight="false" outlineLevel="0" collapsed="false">
      <c r="A17" s="11" t="s">
        <v>564</v>
      </c>
      <c r="B17" s="11" t="s">
        <v>73</v>
      </c>
      <c r="C17" s="11" t="s">
        <v>205</v>
      </c>
      <c r="D17" s="11" t="s">
        <v>572</v>
      </c>
      <c r="E17" s="11" t="s">
        <v>573</v>
      </c>
      <c r="F17" s="11" t="s">
        <v>574</v>
      </c>
      <c r="G17" s="11" t="str">
        <f aca="false">INDEX('Execution Tracker'!$D$2:$D$68,MATCH(B17,'Execution Tracker'!$A$2:$A$68,0))</f>
        <v>Not Executed</v>
      </c>
    </row>
    <row r="18" customFormat="false" ht="15" hidden="false" customHeight="false" outlineLevel="0" collapsed="false">
      <c r="A18" s="11" t="s">
        <v>575</v>
      </c>
      <c r="B18" s="11" t="s">
        <v>74</v>
      </c>
      <c r="C18" s="11" t="s">
        <v>210</v>
      </c>
      <c r="D18" s="11" t="s">
        <v>576</v>
      </c>
      <c r="E18" s="11" t="s">
        <v>577</v>
      </c>
      <c r="F18" s="11" t="s">
        <v>578</v>
      </c>
      <c r="G18" s="11" t="str">
        <f aca="false">INDEX('Execution Tracker'!$D$2:$D$68,MATCH(B18,'Execution Tracker'!$A$2:$A$68,0))</f>
        <v>Not Executed</v>
      </c>
    </row>
    <row r="19" customFormat="false" ht="15" hidden="false" customHeight="false" outlineLevel="0" collapsed="false">
      <c r="A19" s="11" t="s">
        <v>579</v>
      </c>
      <c r="B19" s="11" t="s">
        <v>75</v>
      </c>
      <c r="C19" s="11" t="s">
        <v>215</v>
      </c>
      <c r="D19" s="11" t="s">
        <v>576</v>
      </c>
      <c r="E19" s="11" t="s">
        <v>573</v>
      </c>
      <c r="F19" s="11" t="s">
        <v>580</v>
      </c>
      <c r="G19" s="11" t="str">
        <f aca="false">INDEX('Execution Tracker'!$D$2:$D$68,MATCH(B19,'Execution Tracker'!$A$2:$A$68,0))</f>
        <v>Not Executed</v>
      </c>
    </row>
    <row r="20" customFormat="false" ht="15" hidden="false" customHeight="false" outlineLevel="0" collapsed="false">
      <c r="A20" s="11" t="s">
        <v>575</v>
      </c>
      <c r="B20" s="11" t="s">
        <v>76</v>
      </c>
      <c r="C20" s="11" t="s">
        <v>219</v>
      </c>
      <c r="D20" s="11" t="s">
        <v>576</v>
      </c>
      <c r="E20" s="11" t="s">
        <v>573</v>
      </c>
      <c r="F20" s="11" t="s">
        <v>580</v>
      </c>
      <c r="G20" s="11" t="str">
        <f aca="false">INDEX('Execution Tracker'!$D$2:$D$68,MATCH(B20,'Execution Tracker'!$A$2:$A$68,0))</f>
        <v>Not Executed</v>
      </c>
    </row>
    <row r="21" customFormat="false" ht="23.85" hidden="false" customHeight="false" outlineLevel="0" collapsed="false">
      <c r="A21" s="11" t="s">
        <v>579</v>
      </c>
      <c r="B21" s="11" t="s">
        <v>77</v>
      </c>
      <c r="C21" s="11" t="s">
        <v>223</v>
      </c>
      <c r="D21" s="11" t="s">
        <v>581</v>
      </c>
      <c r="E21" s="11" t="s">
        <v>559</v>
      </c>
      <c r="F21" s="11" t="s">
        <v>582</v>
      </c>
      <c r="G21" s="11" t="str">
        <f aca="false">INDEX('Execution Tracker'!$D$2:$D$68,MATCH(B21,'Execution Tracker'!$A$2:$A$68,0))</f>
        <v>Not Executed</v>
      </c>
    </row>
    <row r="22" customFormat="false" ht="15" hidden="false" customHeight="false" outlineLevel="0" collapsed="false">
      <c r="A22" s="11" t="s">
        <v>583</v>
      </c>
      <c r="B22" s="11" t="s">
        <v>78</v>
      </c>
      <c r="C22" s="11" t="s">
        <v>227</v>
      </c>
      <c r="D22" s="11" t="s">
        <v>584</v>
      </c>
      <c r="E22" s="11" t="s">
        <v>577</v>
      </c>
      <c r="F22" s="11" t="s">
        <v>585</v>
      </c>
      <c r="G22" s="11" t="str">
        <f aca="false">INDEX('Execution Tracker'!$D$2:$D$68,MATCH(B22,'Execution Tracker'!$A$2:$A$68,0))</f>
        <v>Not Executed</v>
      </c>
    </row>
    <row r="23" customFormat="false" ht="15" hidden="false" customHeight="false" outlineLevel="0" collapsed="false">
      <c r="A23" s="11" t="s">
        <v>586</v>
      </c>
      <c r="B23" s="11" t="s">
        <v>79</v>
      </c>
      <c r="C23" s="11" t="s">
        <v>232</v>
      </c>
      <c r="D23" s="11" t="s">
        <v>576</v>
      </c>
      <c r="E23" s="11" t="s">
        <v>587</v>
      </c>
      <c r="F23" s="11" t="s">
        <v>588</v>
      </c>
      <c r="G23" s="11" t="str">
        <f aca="false">INDEX('Execution Tracker'!$D$2:$D$68,MATCH(B23,'Execution Tracker'!$A$2:$A$68,0))</f>
        <v>Not Executed</v>
      </c>
    </row>
    <row r="24" customFormat="false" ht="15" hidden="false" customHeight="false" outlineLevel="0" collapsed="false">
      <c r="A24" s="11" t="s">
        <v>589</v>
      </c>
      <c r="B24" s="11" t="s">
        <v>80</v>
      </c>
      <c r="C24" s="11" t="s">
        <v>237</v>
      </c>
      <c r="D24" s="11" t="s">
        <v>590</v>
      </c>
      <c r="E24" s="11" t="s">
        <v>591</v>
      </c>
      <c r="F24" s="11" t="s">
        <v>592</v>
      </c>
      <c r="G24" s="11" t="str">
        <f aca="false">INDEX('Execution Tracker'!$D$2:$D$68,MATCH(B24,'Execution Tracker'!$A$2:$A$68,0))</f>
        <v>Not Executed</v>
      </c>
    </row>
    <row r="25" customFormat="false" ht="15" hidden="false" customHeight="false" outlineLevel="0" collapsed="false">
      <c r="A25" s="11" t="s">
        <v>589</v>
      </c>
      <c r="B25" s="11" t="s">
        <v>81</v>
      </c>
      <c r="C25" s="11" t="s">
        <v>242</v>
      </c>
      <c r="D25" s="11" t="s">
        <v>590</v>
      </c>
      <c r="E25" s="11" t="s">
        <v>591</v>
      </c>
      <c r="F25" s="11" t="s">
        <v>593</v>
      </c>
      <c r="G25" s="11" t="str">
        <f aca="false">INDEX('Execution Tracker'!$D$2:$D$68,MATCH(B25,'Execution Tracker'!$A$2:$A$68,0))</f>
        <v>Not Executed</v>
      </c>
    </row>
    <row r="26" customFormat="false" ht="15" hidden="false" customHeight="false" outlineLevel="0" collapsed="false">
      <c r="A26" s="11" t="s">
        <v>594</v>
      </c>
      <c r="B26" s="11" t="s">
        <v>82</v>
      </c>
      <c r="C26" s="11" t="s">
        <v>247</v>
      </c>
      <c r="D26" s="11" t="s">
        <v>595</v>
      </c>
      <c r="E26" s="11" t="s">
        <v>596</v>
      </c>
      <c r="F26" s="11" t="s">
        <v>597</v>
      </c>
      <c r="G26" s="11" t="str">
        <f aca="false">INDEX('Execution Tracker'!$D$2:$D$68,MATCH(B26,'Execution Tracker'!$A$2:$A$68,0))</f>
        <v>Not Executed</v>
      </c>
    </row>
    <row r="27" customFormat="false" ht="23.85" hidden="false" customHeight="false" outlineLevel="0" collapsed="false">
      <c r="A27" s="11" t="s">
        <v>594</v>
      </c>
      <c r="B27" s="11" t="s">
        <v>83</v>
      </c>
      <c r="C27" s="11" t="s">
        <v>252</v>
      </c>
      <c r="D27" s="11" t="s">
        <v>598</v>
      </c>
      <c r="E27" s="11" t="s">
        <v>472</v>
      </c>
      <c r="F27" s="11" t="s">
        <v>599</v>
      </c>
      <c r="G27" s="11" t="str">
        <f aca="false">INDEX('Execution Tracker'!$D$2:$D$68,MATCH(B27,'Execution Tracker'!$A$2:$A$68,0))</f>
        <v>Not Executed</v>
      </c>
    </row>
    <row r="28" customFormat="false" ht="15" hidden="false" customHeight="false" outlineLevel="0" collapsed="false">
      <c r="A28" s="11" t="s">
        <v>594</v>
      </c>
      <c r="B28" s="11" t="s">
        <v>84</v>
      </c>
      <c r="C28" s="11" t="s">
        <v>257</v>
      </c>
      <c r="D28" s="11" t="s">
        <v>598</v>
      </c>
      <c r="E28" s="11" t="s">
        <v>472</v>
      </c>
      <c r="F28" s="11" t="s">
        <v>600</v>
      </c>
      <c r="G28" s="11" t="str">
        <f aca="false">INDEX('Execution Tracker'!$D$2:$D$68,MATCH(B28,'Execution Tracker'!$A$2:$A$68,0))</f>
        <v>Not Executed</v>
      </c>
    </row>
    <row r="29" customFormat="false" ht="15" hidden="false" customHeight="false" outlineLevel="0" collapsed="false">
      <c r="A29" s="11" t="s">
        <v>594</v>
      </c>
      <c r="B29" s="11" t="s">
        <v>85</v>
      </c>
      <c r="C29" s="11" t="s">
        <v>262</v>
      </c>
      <c r="D29" s="11" t="s">
        <v>595</v>
      </c>
      <c r="E29" s="11" t="s">
        <v>601</v>
      </c>
      <c r="F29" s="11" t="s">
        <v>602</v>
      </c>
      <c r="G29" s="11" t="str">
        <f aca="false">INDEX('Execution Tracker'!$D$2:$D$68,MATCH(B29,'Execution Tracker'!$A$2:$A$68,0))</f>
        <v>Not Executed</v>
      </c>
    </row>
    <row r="30" customFormat="false" ht="15" hidden="false" customHeight="false" outlineLevel="0" collapsed="false">
      <c r="A30" s="11" t="s">
        <v>594</v>
      </c>
      <c r="B30" s="11" t="s">
        <v>86</v>
      </c>
      <c r="C30" s="11" t="s">
        <v>266</v>
      </c>
      <c r="D30" s="11" t="s">
        <v>595</v>
      </c>
      <c r="E30" s="11" t="s">
        <v>472</v>
      </c>
      <c r="F30" s="11" t="s">
        <v>603</v>
      </c>
      <c r="G30" s="11" t="str">
        <f aca="false">INDEX('Execution Tracker'!$D$2:$D$68,MATCH(B30,'Execution Tracker'!$A$2:$A$68,0))</f>
        <v>Not Executed</v>
      </c>
    </row>
    <row r="31" customFormat="false" ht="15" hidden="false" customHeight="false" outlineLevel="0" collapsed="false">
      <c r="A31" s="11" t="s">
        <v>604</v>
      </c>
      <c r="B31" s="11" t="s">
        <v>87</v>
      </c>
      <c r="C31" s="11" t="s">
        <v>270</v>
      </c>
      <c r="D31" s="11" t="s">
        <v>598</v>
      </c>
      <c r="E31" s="11" t="s">
        <v>472</v>
      </c>
      <c r="F31" s="11" t="s">
        <v>605</v>
      </c>
      <c r="G31" s="11" t="str">
        <f aca="false">INDEX('Execution Tracker'!$D$2:$D$68,MATCH(B31,'Execution Tracker'!$A$2:$A$68,0))</f>
        <v>Not Executed</v>
      </c>
    </row>
    <row r="32" customFormat="false" ht="15" hidden="false" customHeight="false" outlineLevel="0" collapsed="false">
      <c r="A32" s="11" t="s">
        <v>606</v>
      </c>
      <c r="B32" s="11" t="s">
        <v>88</v>
      </c>
      <c r="C32" s="11" t="s">
        <v>275</v>
      </c>
      <c r="D32" s="11" t="s">
        <v>607</v>
      </c>
      <c r="E32" s="11" t="s">
        <v>608</v>
      </c>
      <c r="F32" s="11" t="s">
        <v>609</v>
      </c>
      <c r="G32" s="11" t="str">
        <f aca="false">INDEX('Execution Tracker'!$D$2:$D$68,MATCH(B32,'Execution Tracker'!$A$2:$A$68,0))</f>
        <v>Not Executed</v>
      </c>
    </row>
    <row r="33" customFormat="false" ht="15" hidden="false" customHeight="false" outlineLevel="0" collapsed="false">
      <c r="A33" s="11" t="s">
        <v>606</v>
      </c>
      <c r="B33" s="11" t="s">
        <v>89</v>
      </c>
      <c r="C33" s="11" t="s">
        <v>280</v>
      </c>
      <c r="D33" s="11" t="s">
        <v>598</v>
      </c>
      <c r="E33" s="11" t="s">
        <v>608</v>
      </c>
      <c r="F33" s="11" t="s">
        <v>610</v>
      </c>
      <c r="G33" s="11" t="str">
        <f aca="false">INDEX('Execution Tracker'!$D$2:$D$68,MATCH(B33,'Execution Tracker'!$A$2:$A$68,0))</f>
        <v>Not Executed</v>
      </c>
    </row>
    <row r="34" customFormat="false" ht="15" hidden="false" customHeight="false" outlineLevel="0" collapsed="false">
      <c r="A34" s="11" t="s">
        <v>606</v>
      </c>
      <c r="B34" s="11" t="s">
        <v>90</v>
      </c>
      <c r="C34" s="11" t="s">
        <v>285</v>
      </c>
      <c r="D34" s="11" t="s">
        <v>611</v>
      </c>
      <c r="E34" s="11" t="s">
        <v>608</v>
      </c>
      <c r="F34" s="11" t="s">
        <v>612</v>
      </c>
      <c r="G34" s="11" t="str">
        <f aca="false">INDEX('Execution Tracker'!$D$2:$D$68,MATCH(B34,'Execution Tracker'!$A$2:$A$68,0))</f>
        <v>Not Executed</v>
      </c>
    </row>
    <row r="35" customFormat="false" ht="15" hidden="false" customHeight="false" outlineLevel="0" collapsed="false">
      <c r="A35" s="11" t="s">
        <v>604</v>
      </c>
      <c r="B35" s="11" t="s">
        <v>91</v>
      </c>
      <c r="C35" s="11" t="s">
        <v>289</v>
      </c>
      <c r="D35" s="11" t="s">
        <v>598</v>
      </c>
      <c r="E35" s="11" t="s">
        <v>608</v>
      </c>
      <c r="F35" s="11" t="s">
        <v>613</v>
      </c>
      <c r="G35" s="11" t="str">
        <f aca="false">INDEX('Execution Tracker'!$D$2:$D$68,MATCH(B35,'Execution Tracker'!$A$2:$A$68,0))</f>
        <v>Not Executed</v>
      </c>
    </row>
    <row r="36" customFormat="false" ht="15" hidden="false" customHeight="false" outlineLevel="0" collapsed="false">
      <c r="A36" s="11" t="s">
        <v>614</v>
      </c>
      <c r="B36" s="11" t="s">
        <v>92</v>
      </c>
      <c r="C36" s="11" t="s">
        <v>293</v>
      </c>
      <c r="D36" s="11" t="s">
        <v>572</v>
      </c>
      <c r="E36" s="11" t="s">
        <v>573</v>
      </c>
      <c r="F36" s="11" t="s">
        <v>615</v>
      </c>
      <c r="G36" s="11" t="str">
        <f aca="false">INDEX('Execution Tracker'!$D$2:$D$68,MATCH(B36,'Execution Tracker'!$A$2:$A$68,0))</f>
        <v>Not Executed</v>
      </c>
    </row>
    <row r="37" customFormat="false" ht="23.85" hidden="false" customHeight="false" outlineLevel="0" collapsed="false">
      <c r="A37" s="11" t="s">
        <v>616</v>
      </c>
      <c r="B37" s="11" t="s">
        <v>93</v>
      </c>
      <c r="C37" s="11" t="s">
        <v>297</v>
      </c>
      <c r="D37" s="11" t="s">
        <v>595</v>
      </c>
      <c r="E37" s="11" t="s">
        <v>617</v>
      </c>
      <c r="F37" s="11" t="s">
        <v>618</v>
      </c>
      <c r="G37" s="11" t="str">
        <f aca="false">INDEX('Execution Tracker'!$D$2:$D$68,MATCH(B37,'Execution Tracker'!$A$2:$A$68,0))</f>
        <v>Not Executed</v>
      </c>
    </row>
    <row r="38" customFormat="false" ht="15" hidden="false" customHeight="false" outlineLevel="0" collapsed="false">
      <c r="A38" s="11" t="s">
        <v>619</v>
      </c>
      <c r="B38" s="11" t="s">
        <v>94</v>
      </c>
      <c r="C38" s="11" t="s">
        <v>303</v>
      </c>
      <c r="D38" s="11" t="s">
        <v>620</v>
      </c>
      <c r="E38" s="11" t="s">
        <v>621</v>
      </c>
      <c r="F38" s="11" t="s">
        <v>622</v>
      </c>
      <c r="G38" s="11" t="str">
        <f aca="false">INDEX('Execution Tracker'!$D$2:$D$68,MATCH(B38,'Execution Tracker'!$A$2:$A$68,0))</f>
        <v>Not Executed</v>
      </c>
    </row>
    <row r="39" customFormat="false" ht="15" hidden="false" customHeight="false" outlineLevel="0" collapsed="false">
      <c r="A39" s="11" t="s">
        <v>614</v>
      </c>
      <c r="B39" s="11" t="s">
        <v>95</v>
      </c>
      <c r="C39" s="11" t="s">
        <v>308</v>
      </c>
      <c r="D39" s="11" t="s">
        <v>607</v>
      </c>
      <c r="E39" s="11" t="s">
        <v>623</v>
      </c>
      <c r="F39" s="11" t="s">
        <v>624</v>
      </c>
      <c r="G39" s="11" t="str">
        <f aca="false">INDEX('Execution Tracker'!$D$2:$D$68,MATCH(B39,'Execution Tracker'!$A$2:$A$68,0))</f>
        <v>Not Executed</v>
      </c>
    </row>
    <row r="40" customFormat="false" ht="15" hidden="false" customHeight="false" outlineLevel="0" collapsed="false">
      <c r="A40" s="11" t="s">
        <v>625</v>
      </c>
      <c r="B40" s="11" t="s">
        <v>96</v>
      </c>
      <c r="C40" s="11" t="s">
        <v>313</v>
      </c>
      <c r="D40" s="11" t="s">
        <v>626</v>
      </c>
      <c r="E40" s="11" t="s">
        <v>627</v>
      </c>
      <c r="F40" s="11" t="s">
        <v>628</v>
      </c>
      <c r="G40" s="11" t="str">
        <f aca="false">INDEX('Execution Tracker'!$D$2:$D$68,MATCH(B40,'Execution Tracker'!$A$2:$A$68,0))</f>
        <v>Not Executed</v>
      </c>
    </row>
    <row r="41" customFormat="false" ht="15" hidden="false" customHeight="false" outlineLevel="0" collapsed="false">
      <c r="A41" s="11" t="s">
        <v>629</v>
      </c>
      <c r="B41" s="11" t="s">
        <v>97</v>
      </c>
      <c r="C41" s="11" t="s">
        <v>318</v>
      </c>
      <c r="D41" s="11" t="s">
        <v>626</v>
      </c>
      <c r="E41" s="11" t="s">
        <v>630</v>
      </c>
      <c r="F41" s="11" t="s">
        <v>562</v>
      </c>
      <c r="G41" s="11" t="str">
        <f aca="false">INDEX('Execution Tracker'!$D$2:$D$68,MATCH(B41,'Execution Tracker'!$A$2:$A$68,0))</f>
        <v>Not Executed</v>
      </c>
    </row>
    <row r="42" customFormat="false" ht="15" hidden="false" customHeight="false" outlineLevel="0" collapsed="false">
      <c r="A42" s="11" t="s">
        <v>625</v>
      </c>
      <c r="B42" s="11" t="s">
        <v>98</v>
      </c>
      <c r="C42" s="11" t="s">
        <v>322</v>
      </c>
      <c r="D42" s="11" t="s">
        <v>626</v>
      </c>
      <c r="E42" s="11" t="s">
        <v>630</v>
      </c>
      <c r="F42" s="11" t="s">
        <v>631</v>
      </c>
      <c r="G42" s="11" t="str">
        <f aca="false">INDEX('Execution Tracker'!$D$2:$D$68,MATCH(B42,'Execution Tracker'!$A$2:$A$68,0))</f>
        <v>Not Executed</v>
      </c>
    </row>
    <row r="43" customFormat="false" ht="15" hidden="false" customHeight="false" outlineLevel="0" collapsed="false">
      <c r="A43" s="11" t="s">
        <v>629</v>
      </c>
      <c r="B43" s="11" t="s">
        <v>99</v>
      </c>
      <c r="C43" s="11" t="s">
        <v>326</v>
      </c>
      <c r="D43" s="11" t="s">
        <v>632</v>
      </c>
      <c r="E43" s="11" t="s">
        <v>633</v>
      </c>
      <c r="F43" s="11" t="s">
        <v>634</v>
      </c>
      <c r="G43" s="11" t="str">
        <f aca="false">INDEX('Execution Tracker'!$D$2:$D$68,MATCH(B43,'Execution Tracker'!$A$2:$A$68,0))</f>
        <v>Not Executed</v>
      </c>
    </row>
    <row r="44" customFormat="false" ht="15" hidden="false" customHeight="false" outlineLevel="0" collapsed="false">
      <c r="A44" s="11" t="s">
        <v>635</v>
      </c>
      <c r="B44" s="11" t="s">
        <v>100</v>
      </c>
      <c r="C44" s="11" t="s">
        <v>330</v>
      </c>
      <c r="D44" s="11" t="s">
        <v>636</v>
      </c>
      <c r="E44" s="11" t="s">
        <v>637</v>
      </c>
      <c r="F44" s="11" t="s">
        <v>638</v>
      </c>
      <c r="G44" s="11" t="str">
        <f aca="false">INDEX('Execution Tracker'!$D$2:$D$68,MATCH(B44,'Execution Tracker'!$A$2:$A$68,0))</f>
        <v>Not Executed</v>
      </c>
    </row>
    <row r="45" customFormat="false" ht="23.85" hidden="false" customHeight="false" outlineLevel="0" collapsed="false">
      <c r="A45" s="11" t="s">
        <v>639</v>
      </c>
      <c r="B45" s="11" t="s">
        <v>101</v>
      </c>
      <c r="C45" s="11" t="s">
        <v>335</v>
      </c>
      <c r="D45" s="11" t="s">
        <v>640</v>
      </c>
      <c r="E45" s="11" t="s">
        <v>641</v>
      </c>
      <c r="F45" s="11" t="s">
        <v>642</v>
      </c>
      <c r="G45" s="11" t="str">
        <f aca="false">INDEX('Execution Tracker'!$D$2:$D$68,MATCH(B45,'Execution Tracker'!$A$2:$A$68,0))</f>
        <v>Not Executed</v>
      </c>
    </row>
    <row r="46" customFormat="false" ht="23.85" hidden="false" customHeight="false" outlineLevel="0" collapsed="false">
      <c r="A46" s="11" t="s">
        <v>639</v>
      </c>
      <c r="B46" s="11" t="s">
        <v>102</v>
      </c>
      <c r="C46" s="11" t="s">
        <v>340</v>
      </c>
      <c r="D46" s="11" t="s">
        <v>643</v>
      </c>
      <c r="E46" s="11" t="s">
        <v>644</v>
      </c>
      <c r="F46" s="11" t="s">
        <v>645</v>
      </c>
      <c r="G46" s="11" t="str">
        <f aca="false">INDEX('Execution Tracker'!$D$2:$D$68,MATCH(B46,'Execution Tracker'!$A$2:$A$68,0))</f>
        <v>Not Executed</v>
      </c>
    </row>
    <row r="47" customFormat="false" ht="15" hidden="false" customHeight="false" outlineLevel="0" collapsed="false">
      <c r="A47" s="11" t="s">
        <v>639</v>
      </c>
      <c r="B47" s="11" t="s">
        <v>103</v>
      </c>
      <c r="C47" s="11" t="s">
        <v>345</v>
      </c>
      <c r="D47" s="11" t="s">
        <v>620</v>
      </c>
      <c r="E47" s="11" t="s">
        <v>646</v>
      </c>
      <c r="F47" s="11" t="s">
        <v>647</v>
      </c>
      <c r="G47" s="11" t="str">
        <f aca="false">INDEX('Execution Tracker'!$D$2:$D$68,MATCH(B47,'Execution Tracker'!$A$2:$A$68,0))</f>
        <v>Not Executed</v>
      </c>
    </row>
    <row r="48" customFormat="false" ht="15" hidden="false" customHeight="false" outlineLevel="0" collapsed="false">
      <c r="A48" s="11" t="s">
        <v>648</v>
      </c>
      <c r="B48" s="11" t="s">
        <v>104</v>
      </c>
      <c r="C48" s="11" t="s">
        <v>349</v>
      </c>
      <c r="D48" s="11" t="s">
        <v>649</v>
      </c>
      <c r="E48" s="11" t="s">
        <v>650</v>
      </c>
      <c r="F48" s="11" t="s">
        <v>651</v>
      </c>
      <c r="G48" s="11" t="str">
        <f aca="false">INDEX('Execution Tracker'!$D$2:$D$68,MATCH(B48,'Execution Tracker'!$A$2:$A$68,0))</f>
        <v>Not Executed</v>
      </c>
    </row>
    <row r="49" customFormat="false" ht="15" hidden="false" customHeight="false" outlineLevel="0" collapsed="false">
      <c r="A49" s="11" t="s">
        <v>652</v>
      </c>
      <c r="B49" s="11" t="s">
        <v>105</v>
      </c>
      <c r="C49" s="11" t="s">
        <v>354</v>
      </c>
      <c r="D49" s="11" t="s">
        <v>653</v>
      </c>
      <c r="E49" s="11" t="s">
        <v>654</v>
      </c>
      <c r="F49" s="11" t="s">
        <v>655</v>
      </c>
      <c r="G49" s="11" t="str">
        <f aca="false">INDEX('Execution Tracker'!$D$2:$D$68,MATCH(B49,'Execution Tracker'!$A$2:$A$68,0))</f>
        <v>Not Executed</v>
      </c>
    </row>
    <row r="50" customFormat="false" ht="23.85" hidden="false" customHeight="false" outlineLevel="0" collapsed="false">
      <c r="A50" s="11" t="s">
        <v>656</v>
      </c>
      <c r="B50" s="11" t="s">
        <v>106</v>
      </c>
      <c r="C50" s="11" t="s">
        <v>359</v>
      </c>
      <c r="D50" s="11" t="s">
        <v>657</v>
      </c>
      <c r="E50" s="11" t="s">
        <v>658</v>
      </c>
      <c r="F50" s="11" t="s">
        <v>659</v>
      </c>
      <c r="G50" s="11" t="str">
        <f aca="false">INDEX('Execution Tracker'!$D$2:$D$68,MATCH(B50,'Execution Tracker'!$A$2:$A$68,0))</f>
        <v>Not Executed</v>
      </c>
    </row>
    <row r="51" customFormat="false" ht="15" hidden="false" customHeight="false" outlineLevel="0" collapsed="false">
      <c r="A51" s="11" t="s">
        <v>660</v>
      </c>
      <c r="B51" s="11" t="s">
        <v>107</v>
      </c>
      <c r="C51" s="11" t="s">
        <v>363</v>
      </c>
      <c r="D51" s="11" t="s">
        <v>657</v>
      </c>
      <c r="E51" s="11" t="s">
        <v>661</v>
      </c>
      <c r="F51" s="11" t="s">
        <v>662</v>
      </c>
      <c r="G51" s="11" t="str">
        <f aca="false">INDEX('Execution Tracker'!$D$2:$D$68,MATCH(B51,'Execution Tracker'!$A$2:$A$68,0))</f>
        <v>Not Executed</v>
      </c>
    </row>
    <row r="52" customFormat="false" ht="15" hidden="false" customHeight="false" outlineLevel="0" collapsed="false">
      <c r="A52" s="11" t="s">
        <v>663</v>
      </c>
      <c r="B52" s="11" t="s">
        <v>108</v>
      </c>
      <c r="C52" s="11" t="s">
        <v>368</v>
      </c>
      <c r="D52" s="11" t="s">
        <v>620</v>
      </c>
      <c r="E52" s="11" t="s">
        <v>507</v>
      </c>
      <c r="F52" s="11" t="s">
        <v>664</v>
      </c>
      <c r="G52" s="11" t="str">
        <f aca="false">INDEX('Execution Tracker'!$D$2:$D$68,MATCH(B52,'Execution Tracker'!$A$2:$A$68,0))</f>
        <v>Not Executed</v>
      </c>
    </row>
    <row r="53" customFormat="false" ht="15" hidden="false" customHeight="false" outlineLevel="0" collapsed="false">
      <c r="A53" s="11" t="s">
        <v>665</v>
      </c>
      <c r="B53" s="11" t="s">
        <v>109</v>
      </c>
      <c r="C53" s="11" t="s">
        <v>373</v>
      </c>
      <c r="D53" s="11" t="s">
        <v>666</v>
      </c>
      <c r="E53" s="11" t="s">
        <v>667</v>
      </c>
      <c r="F53" s="11" t="s">
        <v>668</v>
      </c>
      <c r="G53" s="11" t="str">
        <f aca="false">INDEX('Execution Tracker'!$D$2:$D$68,MATCH(B53,'Execution Tracker'!$A$2:$A$68,0))</f>
        <v>Not Executed</v>
      </c>
    </row>
    <row r="54" customFormat="false" ht="15" hidden="false" customHeight="false" outlineLevel="0" collapsed="false">
      <c r="A54" s="11" t="s">
        <v>669</v>
      </c>
      <c r="B54" s="11" t="s">
        <v>110</v>
      </c>
      <c r="C54" s="11" t="s">
        <v>378</v>
      </c>
      <c r="D54" s="11" t="s">
        <v>620</v>
      </c>
      <c r="E54" s="11" t="s">
        <v>670</v>
      </c>
      <c r="F54" s="11" t="s">
        <v>671</v>
      </c>
      <c r="G54" s="11" t="str">
        <f aca="false">INDEX('Execution Tracker'!$D$2:$D$68,MATCH(B54,'Execution Tracker'!$A$2:$A$68,0))</f>
        <v>Not Executed</v>
      </c>
    </row>
    <row r="55" customFormat="false" ht="23.85" hidden="false" customHeight="false" outlineLevel="0" collapsed="false">
      <c r="A55" s="11" t="s">
        <v>672</v>
      </c>
      <c r="B55" s="11" t="s">
        <v>111</v>
      </c>
      <c r="C55" s="11" t="s">
        <v>383</v>
      </c>
      <c r="D55" s="11" t="s">
        <v>673</v>
      </c>
      <c r="E55" s="11" t="s">
        <v>674</v>
      </c>
      <c r="F55" s="11" t="s">
        <v>675</v>
      </c>
      <c r="G55" s="11" t="str">
        <f aca="false">INDEX('Execution Tracker'!$D$2:$D$68,MATCH(B55,'Execution Tracker'!$A$2:$A$68,0))</f>
        <v>Not Executed</v>
      </c>
    </row>
    <row r="56" customFormat="false" ht="23.85" hidden="false" customHeight="false" outlineLevel="0" collapsed="false">
      <c r="A56" s="11" t="s">
        <v>669</v>
      </c>
      <c r="B56" s="11" t="s">
        <v>112</v>
      </c>
      <c r="C56" s="11" t="s">
        <v>388</v>
      </c>
      <c r="D56" s="11" t="s">
        <v>620</v>
      </c>
      <c r="E56" s="11" t="s">
        <v>637</v>
      </c>
      <c r="F56" s="11" t="s">
        <v>676</v>
      </c>
      <c r="G56" s="11" t="str">
        <f aca="false">INDEX('Execution Tracker'!$D$2:$D$68,MATCH(B56,'Execution Tracker'!$A$2:$A$68,0))</f>
        <v>Not Executed</v>
      </c>
    </row>
    <row r="57" customFormat="false" ht="23.85" hidden="false" customHeight="false" outlineLevel="0" collapsed="false">
      <c r="A57" s="11" t="s">
        <v>677</v>
      </c>
      <c r="B57" s="11" t="s">
        <v>113</v>
      </c>
      <c r="C57" s="11" t="s">
        <v>393</v>
      </c>
      <c r="D57" s="11" t="s">
        <v>657</v>
      </c>
      <c r="E57" s="11" t="s">
        <v>678</v>
      </c>
      <c r="F57" s="11" t="s">
        <v>679</v>
      </c>
      <c r="G57" s="11" t="str">
        <f aca="false">INDEX('Execution Tracker'!$D$2:$D$68,MATCH(B57,'Execution Tracker'!$A$2:$A$68,0))</f>
        <v>Not Executed</v>
      </c>
    </row>
    <row r="58" customFormat="false" ht="15" hidden="false" customHeight="false" outlineLevel="0" collapsed="false">
      <c r="A58" s="11" t="s">
        <v>677</v>
      </c>
      <c r="B58" s="11" t="s">
        <v>114</v>
      </c>
      <c r="C58" s="11" t="s">
        <v>398</v>
      </c>
      <c r="D58" s="11" t="s">
        <v>657</v>
      </c>
      <c r="E58" s="11" t="s">
        <v>680</v>
      </c>
      <c r="F58" s="11" t="s">
        <v>681</v>
      </c>
      <c r="G58" s="11" t="str">
        <f aca="false">INDEX('Execution Tracker'!$D$2:$D$68,MATCH(B58,'Execution Tracker'!$A$2:$A$68,0))</f>
        <v>Not Executed</v>
      </c>
    </row>
    <row r="59" customFormat="false" ht="23.85" hidden="false" customHeight="false" outlineLevel="0" collapsed="false">
      <c r="A59" s="11" t="s">
        <v>677</v>
      </c>
      <c r="B59" s="11" t="s">
        <v>115</v>
      </c>
      <c r="C59" s="11" t="s">
        <v>403</v>
      </c>
      <c r="D59" s="11" t="s">
        <v>620</v>
      </c>
      <c r="E59" s="11" t="s">
        <v>682</v>
      </c>
      <c r="F59" s="11" t="s">
        <v>683</v>
      </c>
      <c r="G59" s="11" t="str">
        <f aca="false">INDEX('Execution Tracker'!$D$2:$D$68,MATCH(B59,'Execution Tracker'!$A$2:$A$68,0))</f>
        <v>Not Executed</v>
      </c>
    </row>
    <row r="60" customFormat="false" ht="15" hidden="false" customHeight="false" outlineLevel="0" collapsed="false">
      <c r="A60" s="11" t="s">
        <v>677</v>
      </c>
      <c r="B60" s="11" t="s">
        <v>116</v>
      </c>
      <c r="C60" s="11" t="s">
        <v>408</v>
      </c>
      <c r="D60" s="11" t="s">
        <v>657</v>
      </c>
      <c r="E60" s="11" t="s">
        <v>684</v>
      </c>
      <c r="F60" s="11" t="s">
        <v>685</v>
      </c>
      <c r="G60" s="11" t="str">
        <f aca="false">INDEX('Execution Tracker'!$D$2:$D$68,MATCH(B60,'Execution Tracker'!$A$2:$A$68,0))</f>
        <v>Not Executed</v>
      </c>
    </row>
    <row r="61" customFormat="false" ht="15" hidden="false" customHeight="false" outlineLevel="0" collapsed="false">
      <c r="A61" s="11" t="s">
        <v>686</v>
      </c>
      <c r="B61" s="11" t="s">
        <v>117</v>
      </c>
      <c r="C61" s="11" t="s">
        <v>413</v>
      </c>
      <c r="D61" s="11" t="s">
        <v>620</v>
      </c>
      <c r="E61" s="11" t="s">
        <v>682</v>
      </c>
      <c r="F61" s="11" t="s">
        <v>687</v>
      </c>
      <c r="G61" s="11" t="str">
        <f aca="false">INDEX('Execution Tracker'!$D$2:$D$68,MATCH(B61,'Execution Tracker'!$A$2:$A$68,0))</f>
        <v>Not Executed</v>
      </c>
    </row>
    <row r="62" customFormat="false" ht="15" hidden="false" customHeight="false" outlineLevel="0" collapsed="false">
      <c r="A62" s="11" t="s">
        <v>688</v>
      </c>
      <c r="B62" s="11" t="s">
        <v>118</v>
      </c>
      <c r="C62" s="11" t="s">
        <v>418</v>
      </c>
      <c r="D62" s="11" t="s">
        <v>689</v>
      </c>
      <c r="E62" s="11" t="s">
        <v>479</v>
      </c>
      <c r="F62" s="11" t="s">
        <v>690</v>
      </c>
      <c r="G62" s="11" t="str">
        <f aca="false">INDEX('Execution Tracker'!$D$2:$D$68,MATCH(B62,'Execution Tracker'!$A$2:$A$68,0))</f>
        <v>Not Executed</v>
      </c>
    </row>
    <row r="63" customFormat="false" ht="15" hidden="false" customHeight="false" outlineLevel="0" collapsed="false">
      <c r="A63" s="11" t="s">
        <v>688</v>
      </c>
      <c r="B63" s="11" t="s">
        <v>119</v>
      </c>
      <c r="C63" s="11" t="s">
        <v>423</v>
      </c>
      <c r="D63" s="11" t="s">
        <v>649</v>
      </c>
      <c r="E63" s="11" t="s">
        <v>691</v>
      </c>
      <c r="F63" s="11" t="s">
        <v>692</v>
      </c>
      <c r="G63" s="11" t="str">
        <f aca="false">INDEX('Execution Tracker'!$D$2:$D$68,MATCH(B63,'Execution Tracker'!$A$2:$A$68,0))</f>
        <v>Not Executed</v>
      </c>
    </row>
    <row r="64" customFormat="false" ht="15" hidden="false" customHeight="false" outlineLevel="0" collapsed="false">
      <c r="A64" s="11" t="s">
        <v>688</v>
      </c>
      <c r="B64" s="11" t="s">
        <v>120</v>
      </c>
      <c r="C64" s="11" t="s">
        <v>428</v>
      </c>
      <c r="D64" s="11" t="s">
        <v>649</v>
      </c>
      <c r="E64" s="11" t="s">
        <v>693</v>
      </c>
      <c r="F64" s="11" t="s">
        <v>694</v>
      </c>
      <c r="G64" s="11" t="str">
        <f aca="false">INDEX('Execution Tracker'!$D$2:$D$68,MATCH(B64,'Execution Tracker'!$A$2:$A$68,0))</f>
        <v>Not Executed</v>
      </c>
    </row>
    <row r="65" customFormat="false" ht="15" hidden="false" customHeight="false" outlineLevel="0" collapsed="false">
      <c r="A65" s="11" t="s">
        <v>695</v>
      </c>
      <c r="B65" s="11" t="s">
        <v>121</v>
      </c>
      <c r="C65" s="11" t="s">
        <v>433</v>
      </c>
      <c r="D65" s="11" t="s">
        <v>696</v>
      </c>
      <c r="E65" s="11" t="s">
        <v>693</v>
      </c>
      <c r="F65" s="11" t="s">
        <v>697</v>
      </c>
      <c r="G65" s="11" t="str">
        <f aca="false">INDEX('Execution Tracker'!$D$2:$D$68,MATCH(B65,'Execution Tracker'!$A$2:$A$68,0))</f>
        <v>Not Executed</v>
      </c>
    </row>
    <row r="66" customFormat="false" ht="35.05" hidden="false" customHeight="false" outlineLevel="0" collapsed="false">
      <c r="A66" s="11" t="s">
        <v>698</v>
      </c>
      <c r="B66" s="11" t="s">
        <v>122</v>
      </c>
      <c r="C66" s="11" t="s">
        <v>438</v>
      </c>
      <c r="D66" s="11" t="s">
        <v>699</v>
      </c>
      <c r="E66" s="11" t="s">
        <v>700</v>
      </c>
      <c r="F66" s="11" t="s">
        <v>701</v>
      </c>
      <c r="G66" s="11" t="str">
        <f aca="false">INDEX('Execution Tracker'!$D$2:$D$68,MATCH(B66,'Execution Tracker'!$A$2:$A$68,0))</f>
        <v>Not Executed</v>
      </c>
    </row>
    <row r="67" customFormat="false" ht="23.85" hidden="false" customHeight="false" outlineLevel="0" collapsed="false">
      <c r="A67" s="11" t="s">
        <v>702</v>
      </c>
      <c r="B67" s="11" t="s">
        <v>123</v>
      </c>
      <c r="C67" s="11" t="s">
        <v>443</v>
      </c>
      <c r="D67" s="11" t="s">
        <v>657</v>
      </c>
      <c r="E67" s="11" t="s">
        <v>678</v>
      </c>
      <c r="F67" s="11" t="s">
        <v>703</v>
      </c>
      <c r="G67" s="11" t="str">
        <f aca="false">INDEX('Execution Tracker'!$D$2:$D$68,MATCH(B67,'Execution Tracker'!$A$2:$A$68,0))</f>
        <v>Not Executed</v>
      </c>
    </row>
    <row r="68" customFormat="false" ht="23.85" hidden="false" customHeight="false" outlineLevel="0" collapsed="false">
      <c r="A68" s="11" t="s">
        <v>704</v>
      </c>
      <c r="B68" s="11" t="s">
        <v>124</v>
      </c>
      <c r="C68" s="11" t="s">
        <v>448</v>
      </c>
      <c r="D68" s="11" t="s">
        <v>657</v>
      </c>
      <c r="E68" s="11" t="s">
        <v>705</v>
      </c>
      <c r="F68" s="11" t="s">
        <v>706</v>
      </c>
      <c r="G68" s="11" t="str">
        <f aca="false">INDEX('Execution Tracker'!$D$2:$D$68,MATCH(B68,'Execution Tracker'!$A$2:$A$68,0))</f>
        <v>Not Executed</v>
      </c>
    </row>
  </sheetData>
  <autoFilter ref="A1:G6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2026-10-26T05:19:28Z</dcterms:created>
  <dc:creator>openpyxl</dc:creator>
  <dc:description/>
  <dc:language>en-US</dc:language>
  <cp:lastModifiedBy/>
  <dcterms:modified xsi:type="dcterms:W3CDTF">2026-10-26T05:19:28Z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